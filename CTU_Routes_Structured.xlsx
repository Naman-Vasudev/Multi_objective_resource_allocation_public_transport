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p Coverage" sheetId="1" state="visible" r:id="rId3"/>
    <sheet name="Route Master" sheetId="2" state="visible" r:id="rId4"/>
    <sheet name="Model Variables" sheetId="3" state="visible" r:id="rId5"/>
    <sheet name="Network Summary" sheetId="4" state="visible" r:id="rId6"/>
    <sheet name="Operating Windows" sheetId="5" state="visible" r:id="rId7"/>
    <sheet name="PDF Verification" sheetId="6" state="visible" r:id="rId8"/>
  </sheets>
  <definedNames>
    <definedName function="false" hidden="true" localSheetId="1" name="_xlnm._FilterDatabase" vbProcedure="false">'Route Master'!$A$1:$J$69</definedName>
    <definedName function="false" hidden="true" localSheetId="0" name="_xlnm._FilterDatabase" vbProcedure="false">'Stop Coverage'!$A$1:$D$650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<sst xmlns="http://schemas.openxmlformats.org/spreadsheetml/2006/main" count="2427" uniqueCount="1154">
  <si>
    <t xml:space="preserve">Stop / Landmark</t>
  </si>
  <si>
    <t xml:space="preserve">No. of Routes Serving</t>
  </si>
  <si>
    <t xml:space="preserve">Total Buses Passing</t>
  </si>
  <si>
    <t xml:space="preserve">Route Numbers</t>
  </si>
  <si>
    <t xml:space="preserve">ISBT-17</t>
  </si>
  <si>
    <t xml:space="preserve">1, 101, 11, 123A, 14, 17, 202, 206, 212, 214, 216, 219, 22, 239, 23B, 240, 24C, 25/25A, 26, 28, 28A, 2A, 2C, 2F, 30, 30B, 31, 32, 32B, 34, 35, 35A, 35B, 35D, 37, 38AB, 38B, 39, 40, 4C, 7, 70A, 71, 76, 79, 80, 85</t>
  </si>
  <si>
    <t xml:space="preserve">ISBT-43</t>
  </si>
  <si>
    <t xml:space="preserve">10, 101, 123A, 14, 17, 18, 20, 202, 206, 20A, 213, 216, 22, 239, 23A, 240, 241, 242, 24A, 24C, 28A, 28B, 30, 30A, 30B, 35B, 37, 38AB, 38B, 39, 4A, 4C, 551, 5A, 5C, 6, 71, 8, 85</t>
  </si>
  <si>
    <t xml:space="preserve">PGI</t>
  </si>
  <si>
    <t xml:space="preserve">1, 101, 123A, 212, 214, 219, 23A, 23B, 242, 24A, 25/25A, 26, 28A, 2A, 2C, 2F, 2G, 31, 32, 32B, 34, 35A, 38B, 39, 40, 4A, 4C, 5A, 5C, 70A, 79, 8, 80</t>
  </si>
  <si>
    <t xml:space="preserve">Aroma</t>
  </si>
  <si>
    <t xml:space="preserve">101, 123A, 17, 20, 20A, 216, 219, 239, 23A, 240, 242, 24A, 30, 30B, 35, 35B, 38AB, 7, 79, 8, 80, 85</t>
  </si>
  <si>
    <t xml:space="preserve">23/22</t>
  </si>
  <si>
    <t xml:space="preserve">14, 17, 18, 202, 206, 216, 22, 240, 24C, 28, 28A, 30, 30B, 37, 39, 7, 71, 85</t>
  </si>
  <si>
    <t xml:space="preserve">PEC</t>
  </si>
  <si>
    <t xml:space="preserve">101, 123A, 212, 214, 219, 23A, 242, 31, 34, 35A, 38B, 39, 551, 79, 8, 80</t>
  </si>
  <si>
    <t xml:space="preserve">New OPD</t>
  </si>
  <si>
    <t xml:space="preserve">212, 23A, 242, 2F, 31, 32B, 34, 35A, 38B, 4C, 70A, 80</t>
  </si>
  <si>
    <t xml:space="preserve">Attawa</t>
  </si>
  <si>
    <t xml:space="preserve">18, 206, 216, 24C, 28B, 30, 30A, 30B, 35, 37, 38B, 85</t>
  </si>
  <si>
    <t xml:space="preserve">10/16</t>
  </si>
  <si>
    <t xml:space="preserve">101, 123A, 219, 26, 2C, 2F, 32B, 5C, 79, 80</t>
  </si>
  <si>
    <t xml:space="preserve">7/19</t>
  </si>
  <si>
    <t xml:space="preserve">11, 206, 28, 2C, 2F, 2G, 31, 32, 32B, 5C</t>
  </si>
  <si>
    <t xml:space="preserve">Manimajra</t>
  </si>
  <si>
    <t xml:space="preserve">1, 10, 28, 2A, 30, 37, 70A, 9A, 9C</t>
  </si>
  <si>
    <t xml:space="preserve">8/18</t>
  </si>
  <si>
    <t xml:space="preserve">11, 206, 28, 2C, 2F, 2G, 31, 32B, 5C</t>
  </si>
  <si>
    <t xml:space="preserve">35/34</t>
  </si>
  <si>
    <t xml:space="preserve">239, 23A, 240, 242, 24A, 551, 6, 71, 8</t>
  </si>
  <si>
    <t xml:space="preserve">OPD</t>
  </si>
  <si>
    <t xml:space="preserve">101, 123A, 214, 219, 26, 32, 39, 79, 8</t>
  </si>
  <si>
    <t xml:space="preserve">Zirakpur</t>
  </si>
  <si>
    <t xml:space="preserve">212, 213, 216, 219, 26, 34, 79, 80, 85</t>
  </si>
  <si>
    <t xml:space="preserve">Colony No.4</t>
  </si>
  <si>
    <t xml:space="preserve">10, 17, 240, 26, 2A, 2C, 30A, 80</t>
  </si>
  <si>
    <t xml:space="preserve">26/27</t>
  </si>
  <si>
    <t xml:space="preserve">11, 206, 2F, 2G, 30, 32B, 5C, 9C</t>
  </si>
  <si>
    <t xml:space="preserve">Tribune Chowk</t>
  </si>
  <si>
    <t xml:space="preserve">10, 213, 216, 6, 79, 85, 9A, 9C</t>
  </si>
  <si>
    <t xml:space="preserve">36/35</t>
  </si>
  <si>
    <t xml:space="preserve">202, 216, 22, 28, 30, 30A, 30B, 39</t>
  </si>
  <si>
    <t xml:space="preserve">R/Crossing</t>
  </si>
  <si>
    <t xml:space="preserve">1, 206, 22, 240, 241, 2C, 71</t>
  </si>
  <si>
    <t xml:space="preserve">Railway Station</t>
  </si>
  <si>
    <t xml:space="preserve">10, 11, 2A, 31, 32B, 70A, 9A</t>
  </si>
  <si>
    <t xml:space="preserve">Kalagram</t>
  </si>
  <si>
    <t xml:space="preserve">240, 28, 2C, 30, 30A, 30B, 31</t>
  </si>
  <si>
    <t xml:space="preserve">Hallo Majra</t>
  </si>
  <si>
    <t xml:space="preserve">212, 213, 216, 26, 34, 6, 79</t>
  </si>
  <si>
    <t xml:space="preserve">Mansa Devi</t>
  </si>
  <si>
    <t xml:space="preserve">14, 241, 31, 70A, 71, 9A, 9C</t>
  </si>
  <si>
    <t xml:space="preserve">17/18</t>
  </si>
  <si>
    <t xml:space="preserve">18, 202, 206, 239, 2F, 31, 32B</t>
  </si>
  <si>
    <t xml:space="preserve">CTU w/s</t>
  </si>
  <si>
    <t xml:space="preserve">22, 240, 241, 26, 2F, 30A, 37</t>
  </si>
  <si>
    <t xml:space="preserve">Dhanas</t>
  </si>
  <si>
    <t xml:space="preserve">219, 28B, 2A, 2C, 4A, 4C</t>
  </si>
  <si>
    <t xml:space="preserve">DMC</t>
  </si>
  <si>
    <t xml:space="preserve">28B, 2A, 2C, 31, 4A, 4C</t>
  </si>
  <si>
    <t xml:space="preserve">R/Station</t>
  </si>
  <si>
    <t xml:space="preserve">22, 240, 241, 28, 2C, 30A</t>
  </si>
  <si>
    <t xml:space="preserve">22/17</t>
  </si>
  <si>
    <t xml:space="preserve">23A, 24A, 2C, 39, 551, 8</t>
  </si>
  <si>
    <t xml:space="preserve">Maloya</t>
  </si>
  <si>
    <t xml:space="preserve">28, 4A, 4C, 5A, 5C, 6</t>
  </si>
  <si>
    <t xml:space="preserve">Sec-43/44</t>
  </si>
  <si>
    <t xml:space="preserve">202, 23A, 240, 24A, 28A, 71</t>
  </si>
  <si>
    <t xml:space="preserve">Mullanpur</t>
  </si>
  <si>
    <t xml:space="preserve">25/25A, 26, 28A, 28B, 40, 76</t>
  </si>
  <si>
    <t xml:space="preserve">M/Majra</t>
  </si>
  <si>
    <t xml:space="preserve">206, 22, 240, 241, 32, 71</t>
  </si>
  <si>
    <t xml:space="preserve">Kissan Bhawan</t>
  </si>
  <si>
    <t xml:space="preserve">206, 216, 240, 35, 35B, 85</t>
  </si>
  <si>
    <t xml:space="preserve">17/16</t>
  </si>
  <si>
    <t xml:space="preserve">1, 101, 214, 2F, 32B</t>
  </si>
  <si>
    <t xml:space="preserve">Railway Crossing</t>
  </si>
  <si>
    <t xml:space="preserve">10, 2A, 30A, 32B, 9A</t>
  </si>
  <si>
    <t xml:space="preserve">Khuda Lahora</t>
  </si>
  <si>
    <t xml:space="preserve">219, 28A, 2A, 4A, 4C</t>
  </si>
  <si>
    <t xml:space="preserve">CTU Workshop</t>
  </si>
  <si>
    <t xml:space="preserve">10, 2A, 31, 70A, 9A</t>
  </si>
  <si>
    <t xml:space="preserve">Elante Mall</t>
  </si>
  <si>
    <t xml:space="preserve">17, 240, 2A, 2C, 80</t>
  </si>
  <si>
    <t xml:space="preserve">11/15</t>
  </si>
  <si>
    <t xml:space="preserve">28A, 2C, 35A, 40, 5C</t>
  </si>
  <si>
    <t xml:space="preserve">Sec-36/35</t>
  </si>
  <si>
    <t xml:space="preserve">17, 18, 24C, 28B, 37</t>
  </si>
  <si>
    <t xml:space="preserve">16/10</t>
  </si>
  <si>
    <t xml:space="preserve">23A, 242, 2G, 35A, 39</t>
  </si>
  <si>
    <t xml:space="preserve">Sec 42/43</t>
  </si>
  <si>
    <t xml:space="preserve">17, 18, 30, 30B, 37</t>
  </si>
  <si>
    <t xml:space="preserve">Sohana</t>
  </si>
  <si>
    <t xml:space="preserve">101, 20, 213, 242, 38B</t>
  </si>
  <si>
    <t xml:space="preserve">Kharar</t>
  </si>
  <si>
    <t xml:space="preserve">20, 20A, 35, 35B, 35D</t>
  </si>
  <si>
    <t xml:space="preserve">Airport</t>
  </si>
  <si>
    <t xml:space="preserve">212, 219, 26, 34, 79</t>
  </si>
  <si>
    <t xml:space="preserve">Derabassi</t>
  </si>
  <si>
    <t xml:space="preserve">212, 213, 216, 32, 34</t>
  </si>
  <si>
    <t xml:space="preserve">New Maloya Colony</t>
  </si>
  <si>
    <t xml:space="preserve">1, 28, 6, 7</t>
  </si>
  <si>
    <t xml:space="preserve">CTU W/Shop</t>
  </si>
  <si>
    <t xml:space="preserve">2C, 31, 32B, 9C</t>
  </si>
  <si>
    <t xml:space="preserve">26/28</t>
  </si>
  <si>
    <t xml:space="preserve">28, 2C, 32, 9C</t>
  </si>
  <si>
    <t xml:space="preserve">Aroma Chowk</t>
  </si>
  <si>
    <t xml:space="preserve">212, 34, 4A, 4C</t>
  </si>
  <si>
    <t xml:space="preserve">Ram Darbar</t>
  </si>
  <si>
    <t xml:space="preserve">10, 5A, 5C, 9A</t>
  </si>
  <si>
    <t xml:space="preserve">20Mkt</t>
  </si>
  <si>
    <t xml:space="preserve">17, 219, 7, 79</t>
  </si>
  <si>
    <t xml:space="preserve">19/27</t>
  </si>
  <si>
    <t xml:space="preserve">241, 30, 30B, 9C</t>
  </si>
  <si>
    <t xml:space="preserve">42/43</t>
  </si>
  <si>
    <t xml:space="preserve">202, 28B, 39, 85</t>
  </si>
  <si>
    <t xml:space="preserve">44/43</t>
  </si>
  <si>
    <t xml:space="preserve">101, 123A, 38AB, 8</t>
  </si>
  <si>
    <t xml:space="preserve">16/17</t>
  </si>
  <si>
    <t xml:space="preserve">23A, 35A, 551, 8</t>
  </si>
  <si>
    <t xml:space="preserve">YPS</t>
  </si>
  <si>
    <t xml:space="preserve">101, 20, 20A, 241</t>
  </si>
  <si>
    <t xml:space="preserve">Landran</t>
  </si>
  <si>
    <t xml:space="preserve">20, 20A, 213, 242</t>
  </si>
  <si>
    <t xml:space="preserve">H/B Chowk</t>
  </si>
  <si>
    <t xml:space="preserve">206, 22, 240, 241</t>
  </si>
  <si>
    <t xml:space="preserve">Nada Sahib</t>
  </si>
  <si>
    <t xml:space="preserve">214, 30, 30B, 32</t>
  </si>
  <si>
    <t xml:space="preserve">Daun</t>
  </si>
  <si>
    <t xml:space="preserve">35, 35A, 35B, 35D</t>
  </si>
  <si>
    <t xml:space="preserve">11/10</t>
  </si>
  <si>
    <t xml:space="preserve">123A, 242, 39, 551</t>
  </si>
  <si>
    <t xml:space="preserve">S.P. Barrier</t>
  </si>
  <si>
    <t xml:space="preserve">214, 219, 25/25A, 40</t>
  </si>
  <si>
    <t xml:space="preserve">24/25</t>
  </si>
  <si>
    <t xml:space="preserve">1, 2C, 35A</t>
  </si>
  <si>
    <t xml:space="preserve">19Mkt</t>
  </si>
  <si>
    <t xml:space="preserve">1, 214, 30</t>
  </si>
  <si>
    <t xml:space="preserve">27Mkt</t>
  </si>
  <si>
    <t xml:space="preserve">1, 214, 30B</t>
  </si>
  <si>
    <t xml:space="preserve">Sukhna Path Barrier</t>
  </si>
  <si>
    <t xml:space="preserve">2A, 4A, 4C</t>
  </si>
  <si>
    <t xml:space="preserve">Phase-6</t>
  </si>
  <si>
    <t xml:space="preserve">35D, 4A, 4C</t>
  </si>
  <si>
    <t xml:space="preserve">Sector 10/16</t>
  </si>
  <si>
    <t xml:space="preserve">212, 34, 4C</t>
  </si>
  <si>
    <t xml:space="preserve">43/44</t>
  </si>
  <si>
    <t xml:space="preserve">239, 242, 6</t>
  </si>
  <si>
    <t xml:space="preserve">Ramdarbar</t>
  </si>
  <si>
    <t xml:space="preserve">6, 7, 9C</t>
  </si>
  <si>
    <t xml:space="preserve">Raipur Kalan</t>
  </si>
  <si>
    <t xml:space="preserve">6, 80, 85</t>
  </si>
  <si>
    <t xml:space="preserve">21Mkt</t>
  </si>
  <si>
    <t xml:space="preserve">17, 30B, 7</t>
  </si>
  <si>
    <t xml:space="preserve">Housing Board</t>
  </si>
  <si>
    <t xml:space="preserve">2G, 31, 9A</t>
  </si>
  <si>
    <t xml:space="preserve">PSEB</t>
  </si>
  <si>
    <t xml:space="preserve">20A, 9A, 9C</t>
  </si>
  <si>
    <t xml:space="preserve">GMCH-16</t>
  </si>
  <si>
    <t xml:space="preserve">23B, 31, 70A</t>
  </si>
  <si>
    <t xml:space="preserve">Parol</t>
  </si>
  <si>
    <t xml:space="preserve">25/25A, 28B, 40</t>
  </si>
  <si>
    <t xml:space="preserve">MLA Flat</t>
  </si>
  <si>
    <t xml:space="preserve">18, 202, 239</t>
  </si>
  <si>
    <t xml:space="preserve">19</t>
  </si>
  <si>
    <t xml:space="preserve">22, 70A, 71</t>
  </si>
  <si>
    <t xml:space="preserve">Kishangarh</t>
  </si>
  <si>
    <t xml:space="preserve">14, 206, 22</t>
  </si>
  <si>
    <t xml:space="preserve">IT Park</t>
  </si>
  <si>
    <t xml:space="preserve">Lakhnaur</t>
  </si>
  <si>
    <t xml:space="preserve">20, 20A, 242</t>
  </si>
  <si>
    <t xml:space="preserve">H.Board</t>
  </si>
  <si>
    <t xml:space="preserve">28, 30, 30B</t>
  </si>
  <si>
    <t xml:space="preserve">G.Mkt-26</t>
  </si>
  <si>
    <t xml:space="preserve">30, 30B, 32</t>
  </si>
  <si>
    <t xml:space="preserve">R/C</t>
  </si>
  <si>
    <t xml:space="preserve">29/31</t>
  </si>
  <si>
    <t xml:space="preserve">219, 30A, 85</t>
  </si>
  <si>
    <t xml:space="preserve">Ramgarh</t>
  </si>
  <si>
    <t xml:space="preserve">30B, 32, 32B</t>
  </si>
  <si>
    <t xml:space="preserve">Balongi</t>
  </si>
  <si>
    <t xml:space="preserve">35, 35A, 35B</t>
  </si>
  <si>
    <t xml:space="preserve">Block</t>
  </si>
  <si>
    <t xml:space="preserve">25/25A, 40, 76</t>
  </si>
  <si>
    <t xml:space="preserve">Sec-21</t>
  </si>
  <si>
    <t xml:space="preserve">219, 240, 79</t>
  </si>
  <si>
    <t xml:space="preserve">25/38</t>
  </si>
  <si>
    <t xml:space="preserve">1, 7</t>
  </si>
  <si>
    <t xml:space="preserve">18Mkt</t>
  </si>
  <si>
    <t xml:space="preserve">1, 214</t>
  </si>
  <si>
    <t xml:space="preserve">28Mkt</t>
  </si>
  <si>
    <t xml:space="preserve">CTU W/shop</t>
  </si>
  <si>
    <t xml:space="preserve">1, 11</t>
  </si>
  <si>
    <t xml:space="preserve">Indira Colony</t>
  </si>
  <si>
    <t xml:space="preserve">206, 2A</t>
  </si>
  <si>
    <t xml:space="preserve">M.M. Town</t>
  </si>
  <si>
    <t xml:space="preserve">2A, 2C</t>
  </si>
  <si>
    <t xml:space="preserve">Sector 28/26 Grain Market</t>
  </si>
  <si>
    <t xml:space="preserve">2A, 9A</t>
  </si>
  <si>
    <t xml:space="preserve">Sector 19/7</t>
  </si>
  <si>
    <t xml:space="preserve">2A, 5A</t>
  </si>
  <si>
    <t xml:space="preserve">Sector 18/8</t>
  </si>
  <si>
    <t xml:space="preserve">Sector 22/17</t>
  </si>
  <si>
    <t xml:space="preserve">2A, 4A</t>
  </si>
  <si>
    <t xml:space="preserve">Sector 16/10</t>
  </si>
  <si>
    <t xml:space="preserve">Sector 15/11</t>
  </si>
  <si>
    <t xml:space="preserve">Housing Board Chowk</t>
  </si>
  <si>
    <t xml:space="preserve">10, 2A</t>
  </si>
  <si>
    <t xml:space="preserve">38/25</t>
  </si>
  <si>
    <t xml:space="preserve">28B, 2C</t>
  </si>
  <si>
    <t xml:space="preserve">K.Lahora</t>
  </si>
  <si>
    <t xml:space="preserve">26, 2C</t>
  </si>
  <si>
    <t xml:space="preserve">Sector 43/44</t>
  </si>
  <si>
    <t xml:space="preserve">4A, 4C</t>
  </si>
  <si>
    <t xml:space="preserve">I.R.B. Complex</t>
  </si>
  <si>
    <t xml:space="preserve">CTU Depot-III</t>
  </si>
  <si>
    <t xml:space="preserve">Sector 38 West</t>
  </si>
  <si>
    <t xml:space="preserve">Old Barrier</t>
  </si>
  <si>
    <t xml:space="preserve">Franco Hotel</t>
  </si>
  <si>
    <t xml:space="preserve">Badheri Chowk</t>
  </si>
  <si>
    <t xml:space="preserve">Sector 41 Market</t>
  </si>
  <si>
    <t xml:space="preserve">Sector 42 Market</t>
  </si>
  <si>
    <t xml:space="preserve">Sector 47 Markets</t>
  </si>
  <si>
    <t xml:space="preserve">10, 5A</t>
  </si>
  <si>
    <t xml:space="preserve">25/24</t>
  </si>
  <si>
    <t xml:space="preserve">5C, 7</t>
  </si>
  <si>
    <t xml:space="preserve">14/15</t>
  </si>
  <si>
    <t xml:space="preserve">35A, 5C</t>
  </si>
  <si>
    <t xml:space="preserve">9/17</t>
  </si>
  <si>
    <t xml:space="preserve">2G, 5C</t>
  </si>
  <si>
    <t xml:space="preserve">38Mkt</t>
  </si>
  <si>
    <t xml:space="preserve">28, 6</t>
  </si>
  <si>
    <t xml:space="preserve">37Mkt</t>
  </si>
  <si>
    <t xml:space="preserve">36/37</t>
  </si>
  <si>
    <t xml:space="preserve">35D, 6</t>
  </si>
  <si>
    <t xml:space="preserve">41/42</t>
  </si>
  <si>
    <t xml:space="preserve">30Mkt</t>
  </si>
  <si>
    <t xml:space="preserve">17, 7</t>
  </si>
  <si>
    <t xml:space="preserve">Sec-46/47</t>
  </si>
  <si>
    <t xml:space="preserve">213, 7</t>
  </si>
  <si>
    <t xml:space="preserve">47Mkt</t>
  </si>
  <si>
    <t xml:space="preserve">7, 8</t>
  </si>
  <si>
    <t xml:space="preserve">Phase-VIII</t>
  </si>
  <si>
    <t xml:space="preserve">9A, 9C</t>
  </si>
  <si>
    <t xml:space="preserve">H.B Chowk</t>
  </si>
  <si>
    <t xml:space="preserve">30A, 9C</t>
  </si>
  <si>
    <t xml:space="preserve">Jagatpura</t>
  </si>
  <si>
    <t xml:space="preserve">8, 9C</t>
  </si>
  <si>
    <t xml:space="preserve">63mkt</t>
  </si>
  <si>
    <t xml:space="preserve">123A, 9C</t>
  </si>
  <si>
    <t xml:space="preserve">62/63</t>
  </si>
  <si>
    <t xml:space="preserve">50mkt</t>
  </si>
  <si>
    <t xml:space="preserve">241, 9C</t>
  </si>
  <si>
    <t xml:space="preserve">45/46</t>
  </si>
  <si>
    <t xml:space="preserve">20/30</t>
  </si>
  <si>
    <t xml:space="preserve">G/Mkt-26</t>
  </si>
  <si>
    <t xml:space="preserve">Sec-35/34</t>
  </si>
  <si>
    <t xml:space="preserve">14, 28A</t>
  </si>
  <si>
    <t xml:space="preserve">S.P.Barrier</t>
  </si>
  <si>
    <t xml:space="preserve">26, 28A</t>
  </si>
  <si>
    <t xml:space="preserve">Lake</t>
  </si>
  <si>
    <t xml:space="preserve">18, 239</t>
  </si>
  <si>
    <t xml:space="preserve">27</t>
  </si>
  <si>
    <t xml:space="preserve">22, 70A</t>
  </si>
  <si>
    <t xml:space="preserve">2/11</t>
  </si>
  <si>
    <t xml:space="preserve">26, 2F</t>
  </si>
  <si>
    <t xml:space="preserve">TPT area</t>
  </si>
  <si>
    <t xml:space="preserve">2F, 32B</t>
  </si>
  <si>
    <t xml:space="preserve">10/15</t>
  </si>
  <si>
    <t xml:space="preserve">Pkl B/S</t>
  </si>
  <si>
    <t xml:space="preserve">Sec-4 Pkl</t>
  </si>
  <si>
    <t xml:space="preserve">2F, 30B</t>
  </si>
  <si>
    <t xml:space="preserve">16/10(Hospital)</t>
  </si>
  <si>
    <t xml:space="preserve">24A, 8</t>
  </si>
  <si>
    <t xml:space="preserve">H/Majra</t>
  </si>
  <si>
    <t xml:space="preserve">17, 30A</t>
  </si>
  <si>
    <t xml:space="preserve">H/Court</t>
  </si>
  <si>
    <t xml:space="preserve">18, 202</t>
  </si>
  <si>
    <t xml:space="preserve">CHD</t>
  </si>
  <si>
    <t xml:space="preserve">20, 20A</t>
  </si>
  <si>
    <t xml:space="preserve">33/34</t>
  </si>
  <si>
    <t xml:space="preserve">44/45</t>
  </si>
  <si>
    <t xml:space="preserve">Ph-7</t>
  </si>
  <si>
    <t xml:space="preserve">ChapparChiri</t>
  </si>
  <si>
    <t xml:space="preserve">SanteMajra</t>
  </si>
  <si>
    <t xml:space="preserve">Sec-21/34</t>
  </si>
  <si>
    <t xml:space="preserve">20A, 216</t>
  </si>
  <si>
    <t xml:space="preserve">Sec-42/43</t>
  </si>
  <si>
    <t xml:space="preserve">22, 30A</t>
  </si>
  <si>
    <t xml:space="preserve">18</t>
  </si>
  <si>
    <t xml:space="preserve">22, 71</t>
  </si>
  <si>
    <t xml:space="preserve">15/11</t>
  </si>
  <si>
    <t xml:space="preserve">23A, 24A</t>
  </si>
  <si>
    <t xml:space="preserve">Sec42/43</t>
  </si>
  <si>
    <t xml:space="preserve">216, 24C</t>
  </si>
  <si>
    <t xml:space="preserve">Mullanpur Eco City</t>
  </si>
  <si>
    <t xml:space="preserve">214, 26</t>
  </si>
  <si>
    <t xml:space="preserve">20Mkts</t>
  </si>
  <si>
    <t xml:space="preserve">30, 30B</t>
  </si>
  <si>
    <t xml:space="preserve">Command Hospital</t>
  </si>
  <si>
    <t xml:space="preserve">30, 30A</t>
  </si>
  <si>
    <t xml:space="preserve">Majri Chowk</t>
  </si>
  <si>
    <t xml:space="preserve">214, 30</t>
  </si>
  <si>
    <t xml:space="preserve">21/34</t>
  </si>
  <si>
    <t xml:space="preserve">30A, 85</t>
  </si>
  <si>
    <t xml:space="preserve">20/33</t>
  </si>
  <si>
    <t xml:space="preserve">30/32</t>
  </si>
  <si>
    <t xml:space="preserve">Mubarakpur</t>
  </si>
  <si>
    <t xml:space="preserve">32, 34</t>
  </si>
  <si>
    <t xml:space="preserve">Piccadilly Chowk</t>
  </si>
  <si>
    <t xml:space="preserve">212, 34</t>
  </si>
  <si>
    <t xml:space="preserve">Sector 21/34</t>
  </si>
  <si>
    <t xml:space="preserve">Sector 20/33</t>
  </si>
  <si>
    <t xml:space="preserve">Sector 30/32</t>
  </si>
  <si>
    <t xml:space="preserve">Sector 29/31</t>
  </si>
  <si>
    <t xml:space="preserve">Bankharpur</t>
  </si>
  <si>
    <t xml:space="preserve">216, 34</t>
  </si>
  <si>
    <t xml:space="preserve">Sec-35/22</t>
  </si>
  <si>
    <t xml:space="preserve">35, 35B</t>
  </si>
  <si>
    <t xml:space="preserve">35/36</t>
  </si>
  <si>
    <t xml:space="preserve">40/41</t>
  </si>
  <si>
    <t xml:space="preserve">35, 35A</t>
  </si>
  <si>
    <t xml:space="preserve">F/Chowk</t>
  </si>
  <si>
    <t xml:space="preserve">Ph-2</t>
  </si>
  <si>
    <t xml:space="preserve">Ph-6</t>
  </si>
  <si>
    <t xml:space="preserve">DesuMajra</t>
  </si>
  <si>
    <t xml:space="preserve">KFC</t>
  </si>
  <si>
    <t xml:space="preserve">35A, 35D</t>
  </si>
  <si>
    <t xml:space="preserve">27mkt</t>
  </si>
  <si>
    <t xml:space="preserve">241, 37</t>
  </si>
  <si>
    <t xml:space="preserve">M.Majra</t>
  </si>
  <si>
    <t xml:space="preserve">214, 37</t>
  </si>
  <si>
    <t xml:space="preserve">Sec-22/17</t>
  </si>
  <si>
    <t xml:space="preserve">242, 38B</t>
  </si>
  <si>
    <t xml:space="preserve">Tangori</t>
  </si>
  <si>
    <t xml:space="preserve">Sec-16/10</t>
  </si>
  <si>
    <t xml:space="preserve">25/25A, 40</t>
  </si>
  <si>
    <t xml:space="preserve">Majra</t>
  </si>
  <si>
    <t xml:space="preserve">Boothgarh</t>
  </si>
  <si>
    <t xml:space="preserve">Sialva</t>
  </si>
  <si>
    <t xml:space="preserve">Khizrabad</t>
  </si>
  <si>
    <t xml:space="preserve">G/Mkt</t>
  </si>
  <si>
    <t xml:space="preserve">206, 71</t>
  </si>
  <si>
    <t xml:space="preserve">Hallomajra</t>
  </si>
  <si>
    <t xml:space="preserve">80, 85</t>
  </si>
  <si>
    <t xml:space="preserve">Mouli Jagran</t>
  </si>
  <si>
    <t xml:space="preserve">Baltana</t>
  </si>
  <si>
    <t xml:space="preserve">34/35</t>
  </si>
  <si>
    <t xml:space="preserve">123A, 38AB</t>
  </si>
  <si>
    <t xml:space="preserve">51mkt</t>
  </si>
  <si>
    <t xml:space="preserve">123A, 241</t>
  </si>
  <si>
    <t xml:space="preserve">Airport Chowk</t>
  </si>
  <si>
    <t xml:space="preserve">213, 216</t>
  </si>
  <si>
    <t xml:space="preserve">Sec-30/32</t>
  </si>
  <si>
    <t xml:space="preserve">216, 219</t>
  </si>
  <si>
    <t xml:space="preserve">DaduMajra village</t>
  </si>
  <si>
    <t xml:space="preserve">1</t>
  </si>
  <si>
    <t xml:space="preserve">CTU W/S</t>
  </si>
  <si>
    <t xml:space="preserve">15Mkt</t>
  </si>
  <si>
    <t xml:space="preserve">16Mkt</t>
  </si>
  <si>
    <t xml:space="preserve">R/Stn</t>
  </si>
  <si>
    <t xml:space="preserve">Kala Gram</t>
  </si>
  <si>
    <t xml:space="preserve">H.B.</t>
  </si>
  <si>
    <t xml:space="preserve">M.M. Complex</t>
  </si>
  <si>
    <t xml:space="preserve">2A</t>
  </si>
  <si>
    <t xml:space="preserve">Sector 25/38</t>
  </si>
  <si>
    <t xml:space="preserve">Sector 25/24</t>
  </si>
  <si>
    <t xml:space="preserve">Sector 24/15</t>
  </si>
  <si>
    <t xml:space="preserve">Sector 23/16</t>
  </si>
  <si>
    <t xml:space="preserve">Sector 18/21</t>
  </si>
  <si>
    <t xml:space="preserve">Sector 19/20</t>
  </si>
  <si>
    <t xml:space="preserve">Sector 27/30</t>
  </si>
  <si>
    <t xml:space="preserve">Sector 28/29</t>
  </si>
  <si>
    <t xml:space="preserve">Mani Majra</t>
  </si>
  <si>
    <t xml:space="preserve">2C</t>
  </si>
  <si>
    <t xml:space="preserve">H.B. Chowk</t>
  </si>
  <si>
    <t xml:space="preserve">Sec-29/28</t>
  </si>
  <si>
    <t xml:space="preserve">30/27</t>
  </si>
  <si>
    <t xml:space="preserve">20/19</t>
  </si>
  <si>
    <t xml:space="preserve">21/18</t>
  </si>
  <si>
    <t xml:space="preserve">16/23</t>
  </si>
  <si>
    <t xml:space="preserve">15/24</t>
  </si>
  <si>
    <t xml:space="preserve">SP Barrier</t>
  </si>
  <si>
    <t xml:space="preserve">G.Mkt.</t>
  </si>
  <si>
    <t xml:space="preserve">M/Complex</t>
  </si>
  <si>
    <t xml:space="preserve">Indra Colony</t>
  </si>
  <si>
    <t xml:space="preserve">Sector 35/34</t>
  </si>
  <si>
    <t xml:space="preserve">4A</t>
  </si>
  <si>
    <t xml:space="preserve">Sector 16/17</t>
  </si>
  <si>
    <t xml:space="preserve">Rose Garden</t>
  </si>
  <si>
    <t xml:space="preserve">Sector 16/10 Hospital</t>
  </si>
  <si>
    <t xml:space="preserve">New OPD (PGI)</t>
  </si>
  <si>
    <t xml:space="preserve">Sector 40/41</t>
  </si>
  <si>
    <t xml:space="preserve">Sector 41/40</t>
  </si>
  <si>
    <t xml:space="preserve">4C</t>
  </si>
  <si>
    <t xml:space="preserve">Sector 10/11</t>
  </si>
  <si>
    <t xml:space="preserve">Sector 17/16</t>
  </si>
  <si>
    <t xml:space="preserve">Sector 34/35</t>
  </si>
  <si>
    <t xml:space="preserve">Sector 44/43</t>
  </si>
  <si>
    <t xml:space="preserve">RamDarbar</t>
  </si>
  <si>
    <t xml:space="preserve">5A</t>
  </si>
  <si>
    <t xml:space="preserve">Sector 47 Market</t>
  </si>
  <si>
    <t xml:space="preserve">Sector 46/47</t>
  </si>
  <si>
    <t xml:space="preserve">Sector 32/31</t>
  </si>
  <si>
    <t xml:space="preserve">Sector 30/29</t>
  </si>
  <si>
    <t xml:space="preserve">Sector 27/28</t>
  </si>
  <si>
    <t xml:space="preserve">Sector 27/26</t>
  </si>
  <si>
    <t xml:space="preserve">Sector 17/9</t>
  </si>
  <si>
    <t xml:space="preserve">Panjab University</t>
  </si>
  <si>
    <t xml:space="preserve">Sector 15/14</t>
  </si>
  <si>
    <t xml:space="preserve">Sector 24/25</t>
  </si>
  <si>
    <t xml:space="preserve">Sector 37/38</t>
  </si>
  <si>
    <t xml:space="preserve">Sector 38/40</t>
  </si>
  <si>
    <t xml:space="preserve">Sector 39/38 West</t>
  </si>
  <si>
    <t xml:space="preserve">Sector 39</t>
  </si>
  <si>
    <t xml:space="preserve">Sector 40</t>
  </si>
  <si>
    <t xml:space="preserve">Sector 41</t>
  </si>
  <si>
    <t xml:space="preserve">Sector 42 Markets</t>
  </si>
  <si>
    <t xml:space="preserve">Sector 44</t>
  </si>
  <si>
    <t xml:space="preserve">Sector 45</t>
  </si>
  <si>
    <t xml:space="preserve">Sector 46</t>
  </si>
  <si>
    <t xml:space="preserve">Sec-47 mkt</t>
  </si>
  <si>
    <t xml:space="preserve">5C</t>
  </si>
  <si>
    <t xml:space="preserve">46</t>
  </si>
  <si>
    <t xml:space="preserve">45</t>
  </si>
  <si>
    <t xml:space="preserve">44 mkts</t>
  </si>
  <si>
    <t xml:space="preserve">42</t>
  </si>
  <si>
    <t xml:space="preserve">41</t>
  </si>
  <si>
    <t xml:space="preserve">40</t>
  </si>
  <si>
    <t xml:space="preserve">39 mkts</t>
  </si>
  <si>
    <t xml:space="preserve">38W/39</t>
  </si>
  <si>
    <t xml:space="preserve">38/40</t>
  </si>
  <si>
    <t xml:space="preserve">38/37</t>
  </si>
  <si>
    <t xml:space="preserve">Uni.</t>
  </si>
  <si>
    <t xml:space="preserve">28/27</t>
  </si>
  <si>
    <t xml:space="preserve">29/30</t>
  </si>
  <si>
    <t xml:space="preserve">31/32</t>
  </si>
  <si>
    <t xml:space="preserve">47/46</t>
  </si>
  <si>
    <t xml:space="preserve">47 mkt</t>
  </si>
  <si>
    <t xml:space="preserve">38west</t>
  </si>
  <si>
    <t xml:space="preserve">6</t>
  </si>
  <si>
    <t xml:space="preserve">Sec42</t>
  </si>
  <si>
    <t xml:space="preserve">34Mkt</t>
  </si>
  <si>
    <t xml:space="preserve">33Mkt</t>
  </si>
  <si>
    <t xml:space="preserve">32Mkt</t>
  </si>
  <si>
    <t xml:space="preserve">31Mkt</t>
  </si>
  <si>
    <t xml:space="preserve">Vikas Nagar</t>
  </si>
  <si>
    <t xml:space="preserve">Maloya Sec-38West Light Point</t>
  </si>
  <si>
    <t xml:space="preserve">7</t>
  </si>
  <si>
    <t xml:space="preserve">24Mkt</t>
  </si>
  <si>
    <t xml:space="preserve">23Mkt</t>
  </si>
  <si>
    <t xml:space="preserve">Sec-29/30</t>
  </si>
  <si>
    <t xml:space="preserve">GMCH-32</t>
  </si>
  <si>
    <t xml:space="preserve">31/32 Mkt</t>
  </si>
  <si>
    <t xml:space="preserve">32 SD-College</t>
  </si>
  <si>
    <t xml:space="preserve">Industrial Area Phase-2</t>
  </si>
  <si>
    <t xml:space="preserve">Sector 27/19</t>
  </si>
  <si>
    <t xml:space="preserve">9A</t>
  </si>
  <si>
    <t xml:space="preserve">Sector 30/20</t>
  </si>
  <si>
    <t xml:space="preserve">Sector 32/33</t>
  </si>
  <si>
    <t xml:space="preserve">Sector 46/45</t>
  </si>
  <si>
    <t xml:space="preserve">Sector 49/50</t>
  </si>
  <si>
    <t xml:space="preserve">Sector 50 Market</t>
  </si>
  <si>
    <t xml:space="preserve">Sector 50/51</t>
  </si>
  <si>
    <t xml:space="preserve">Sector 62/63</t>
  </si>
  <si>
    <t xml:space="preserve">Sector 63 Market</t>
  </si>
  <si>
    <t xml:space="preserve">Sector 64/63</t>
  </si>
  <si>
    <t xml:space="preserve">Sector 68/67</t>
  </si>
  <si>
    <t xml:space="preserve">Sector 67/80</t>
  </si>
  <si>
    <t xml:space="preserve">Sector 66/ISB-81</t>
  </si>
  <si>
    <t xml:space="preserve">Sector 66/Industrial Area Phase-9</t>
  </si>
  <si>
    <t xml:space="preserve">Mohali</t>
  </si>
  <si>
    <t xml:space="preserve">Phase-11 (Outer)</t>
  </si>
  <si>
    <t xml:space="preserve">Sector 48/Jagatpura</t>
  </si>
  <si>
    <t xml:space="preserve">Sector 47 (Outer)</t>
  </si>
  <si>
    <t xml:space="preserve">Industrial Area Phase-II</t>
  </si>
  <si>
    <t xml:space="preserve">Sector 29 Nursery</t>
  </si>
  <si>
    <t xml:space="preserve">Sector 28 Petrol Pump</t>
  </si>
  <si>
    <t xml:space="preserve">M.majra</t>
  </si>
  <si>
    <t xml:space="preserve">9C</t>
  </si>
  <si>
    <t xml:space="preserve">R.Crossing</t>
  </si>
  <si>
    <t xml:space="preserve">R.Station</t>
  </si>
  <si>
    <t xml:space="preserve">28 P.Pump</t>
  </si>
  <si>
    <t xml:space="preserve">Indl. Area/Sec-29</t>
  </si>
  <si>
    <t xml:space="preserve">Indl. Area Ph-2</t>
  </si>
  <si>
    <t xml:space="preserve">Outer 47</t>
  </si>
  <si>
    <t xml:space="preserve">Ph-11 (65 Mkt Outer)</t>
  </si>
  <si>
    <t xml:space="preserve">Sec-66/Ind. Area Phase-9 Mohali</t>
  </si>
  <si>
    <t xml:space="preserve">Sec-ISB-81/66</t>
  </si>
  <si>
    <t xml:space="preserve">Ind. Area Phase-9 Mohali/Sec-66</t>
  </si>
  <si>
    <t xml:space="preserve">80/67</t>
  </si>
  <si>
    <t xml:space="preserve">68/67</t>
  </si>
  <si>
    <t xml:space="preserve">63/64</t>
  </si>
  <si>
    <t xml:space="preserve">50/51</t>
  </si>
  <si>
    <t xml:space="preserve">50/49</t>
  </si>
  <si>
    <t xml:space="preserve">33/32</t>
  </si>
  <si>
    <t xml:space="preserve">TPT/C</t>
  </si>
  <si>
    <t xml:space="preserve">H.B.C</t>
  </si>
  <si>
    <t xml:space="preserve">Rock Garden</t>
  </si>
  <si>
    <t xml:space="preserve">11A</t>
  </si>
  <si>
    <t xml:space="preserve">BIRD PARK</t>
  </si>
  <si>
    <t xml:space="preserve">Sukhna Lake</t>
  </si>
  <si>
    <t xml:space="preserve">Sec-16/17 MC</t>
  </si>
  <si>
    <t xml:space="preserve">23B</t>
  </si>
  <si>
    <t xml:space="preserve">Sec-16/10-Matka Chowk</t>
  </si>
  <si>
    <t xml:space="preserve">Sec-15/11</t>
  </si>
  <si>
    <t xml:space="preserve">Khuda Lahora Mod (Govt. High School-Sec-12) UT Border</t>
  </si>
  <si>
    <t xml:space="preserve">Nayagaon Gate-1</t>
  </si>
  <si>
    <t xml:space="preserve">Nayagaon Gate-2</t>
  </si>
  <si>
    <t xml:space="preserve">Nayagaon Gate-3</t>
  </si>
  <si>
    <t xml:space="preserve">Village Nada Bridge</t>
  </si>
  <si>
    <t xml:space="preserve">Village Singha Devi Bridge</t>
  </si>
  <si>
    <t xml:space="preserve">Badi Karoran</t>
  </si>
  <si>
    <t xml:space="preserve">17/9</t>
  </si>
  <si>
    <t xml:space="preserve">28A</t>
  </si>
  <si>
    <t xml:space="preserve">KC/16/10</t>
  </si>
  <si>
    <t xml:space="preserve">ECO-City</t>
  </si>
  <si>
    <t xml:space="preserve">DLF Chowk</t>
  </si>
  <si>
    <t xml:space="preserve">Todde Majra</t>
  </si>
  <si>
    <t xml:space="preserve">Rasulpur</t>
  </si>
  <si>
    <t xml:space="preserve">Omax Phase-II</t>
  </si>
  <si>
    <t xml:space="preserve">Rani Majra</t>
  </si>
  <si>
    <t xml:space="preserve">37/24</t>
  </si>
  <si>
    <t xml:space="preserve">28B</t>
  </si>
  <si>
    <t xml:space="preserve">S/P Barrier</t>
  </si>
  <si>
    <t xml:space="preserve">Homi Bhaba</t>
  </si>
  <si>
    <t xml:space="preserve">Majra T-Pont</t>
  </si>
  <si>
    <t xml:space="preserve">Hosiarpur</t>
  </si>
  <si>
    <t xml:space="preserve">Eco City</t>
  </si>
  <si>
    <t xml:space="preserve">Eco City Block-2 (Takipur)</t>
  </si>
  <si>
    <t xml:space="preserve">9/8 K.C. UT Sectt.</t>
  </si>
  <si>
    <t xml:space="preserve">239</t>
  </si>
  <si>
    <t xml:space="preserve">H/Cout</t>
  </si>
  <si>
    <t xml:space="preserve">Bird Park</t>
  </si>
  <si>
    <t xml:space="preserve">Jayanti Majri</t>
  </si>
  <si>
    <t xml:space="preserve">70A</t>
  </si>
  <si>
    <t xml:space="preserve">Parch</t>
  </si>
  <si>
    <t xml:space="preserve">Sarangpur Barrier</t>
  </si>
  <si>
    <t xml:space="preserve">Sector 18</t>
  </si>
  <si>
    <t xml:space="preserve">28 (Market)</t>
  </si>
  <si>
    <t xml:space="preserve">26/28 G.Mkt.</t>
  </si>
  <si>
    <t xml:space="preserve">2F</t>
  </si>
  <si>
    <t xml:space="preserve">Rly/Stn</t>
  </si>
  <si>
    <t xml:space="preserve">Rly/Crossing</t>
  </si>
  <si>
    <t xml:space="preserve">H.B.Chowk</t>
  </si>
  <si>
    <t xml:space="preserve">Panchkula Sector-8/17</t>
  </si>
  <si>
    <t xml:space="preserve">9/16</t>
  </si>
  <si>
    <t xml:space="preserve">11/12</t>
  </si>
  <si>
    <t xml:space="preserve">Sec-21 Pkl</t>
  </si>
  <si>
    <t xml:space="preserve">Sec-20 Pkl</t>
  </si>
  <si>
    <t xml:space="preserve">Sushma Square/Dhakoli</t>
  </si>
  <si>
    <t xml:space="preserve">Platinum Homes</t>
  </si>
  <si>
    <t xml:space="preserve">Sec-11/15</t>
  </si>
  <si>
    <t xml:space="preserve">2G</t>
  </si>
  <si>
    <t xml:space="preserve">Madhaya Marg</t>
  </si>
  <si>
    <t xml:space="preserve">G-Mkt-26</t>
  </si>
  <si>
    <t xml:space="preserve">Geeta Bhawan PKL</t>
  </si>
  <si>
    <t xml:space="preserve">Panchkula Bus Stand</t>
  </si>
  <si>
    <t xml:space="preserve">Mohali Ph-XI</t>
  </si>
  <si>
    <t xml:space="preserve">8</t>
  </si>
  <si>
    <t xml:space="preserve">Sec-49/48</t>
  </si>
  <si>
    <t xml:space="preserve">46Mkt</t>
  </si>
  <si>
    <t xml:space="preserve">45Mkt</t>
  </si>
  <si>
    <t xml:space="preserve">44Mkt</t>
  </si>
  <si>
    <t xml:space="preserve">Sector 44/51</t>
  </si>
  <si>
    <t xml:space="preserve">10</t>
  </si>
  <si>
    <t xml:space="preserve">Sector 45 Market</t>
  </si>
  <si>
    <t xml:space="preserve">Sector 46 Market</t>
  </si>
  <si>
    <t xml:space="preserve">Poultry Farm</t>
  </si>
  <si>
    <t xml:space="preserve">Sec-26 G/Mkt</t>
  </si>
  <si>
    <t xml:space="preserve">11</t>
  </si>
  <si>
    <t xml:space="preserve">UT Sectt.</t>
  </si>
  <si>
    <t xml:space="preserve">High Court</t>
  </si>
  <si>
    <t xml:space="preserve">CIVIL SECTT.</t>
  </si>
  <si>
    <t xml:space="preserve">29Mkts</t>
  </si>
  <si>
    <t xml:space="preserve">17</t>
  </si>
  <si>
    <t xml:space="preserve">Behlana</t>
  </si>
  <si>
    <t xml:space="preserve">17 B/S</t>
  </si>
  <si>
    <t xml:space="preserve">9/8</t>
  </si>
  <si>
    <t xml:space="preserve">9mkt</t>
  </si>
  <si>
    <t xml:space="preserve">Pb.Civil.Sectt</t>
  </si>
  <si>
    <t xml:space="preserve">Kaimbwala</t>
  </si>
  <si>
    <t xml:space="preserve">Sec 43/44</t>
  </si>
  <si>
    <t xml:space="preserve">14</t>
  </si>
  <si>
    <t xml:space="preserve">Sec-8/9</t>
  </si>
  <si>
    <t xml:space="preserve">Lake Chowk</t>
  </si>
  <si>
    <t xml:space="preserve">Mansa Devi Complex</t>
  </si>
  <si>
    <t xml:space="preserve">Sec-21Mkt</t>
  </si>
  <si>
    <t xml:space="preserve">20</t>
  </si>
  <si>
    <t xml:space="preserve">20/21 divided</t>
  </si>
  <si>
    <t xml:space="preserve">Fortis Hospital</t>
  </si>
  <si>
    <t xml:space="preserve">20A</t>
  </si>
  <si>
    <t xml:space="preserve">Forest Complex</t>
  </si>
  <si>
    <t xml:space="preserve">Kumbra Village</t>
  </si>
  <si>
    <t xml:space="preserve">Sec-68/69 Sohana</t>
  </si>
  <si>
    <t xml:space="preserve">17/18 L/Point</t>
  </si>
  <si>
    <t xml:space="preserve">22</t>
  </si>
  <si>
    <t xml:space="preserve">28 mkts</t>
  </si>
  <si>
    <t xml:space="preserve">NayaGaon</t>
  </si>
  <si>
    <t xml:space="preserve">23A</t>
  </si>
  <si>
    <t xml:space="preserve">Khuda Ali Sher</t>
  </si>
  <si>
    <t xml:space="preserve">10/11</t>
  </si>
  <si>
    <t xml:space="preserve">26</t>
  </si>
  <si>
    <t xml:space="preserve">19/20</t>
  </si>
  <si>
    <t xml:space="preserve">28 P.P.</t>
  </si>
  <si>
    <t xml:space="preserve">R/S</t>
  </si>
  <si>
    <t xml:space="preserve">Dhakoli</t>
  </si>
  <si>
    <t xml:space="preserve">Golden Sand Apartment</t>
  </si>
  <si>
    <t xml:space="preserve">Daddu Majra Village</t>
  </si>
  <si>
    <t xml:space="preserve">28</t>
  </si>
  <si>
    <t xml:space="preserve">38w</t>
  </si>
  <si>
    <t xml:space="preserve">36Mkt</t>
  </si>
  <si>
    <t xml:space="preserve">26-G/Mkt</t>
  </si>
  <si>
    <t xml:space="preserve">CTU/w/s</t>
  </si>
  <si>
    <t xml:space="preserve">21</t>
  </si>
  <si>
    <t xml:space="preserve">30</t>
  </si>
  <si>
    <t xml:space="preserve">K/Bhawan</t>
  </si>
  <si>
    <t xml:space="preserve">30A</t>
  </si>
  <si>
    <t xml:space="preserve">22/35</t>
  </si>
  <si>
    <t xml:space="preserve">Tribune</t>
  </si>
  <si>
    <t xml:space="preserve">Fun Republic</t>
  </si>
  <si>
    <t xml:space="preserve">Tank Chowk</t>
  </si>
  <si>
    <t xml:space="preserve">Cantonment</t>
  </si>
  <si>
    <t xml:space="preserve">11/15 Pkl</t>
  </si>
  <si>
    <t xml:space="preserve">30B</t>
  </si>
  <si>
    <t xml:space="preserve">12/11 Pkl</t>
  </si>
  <si>
    <t xml:space="preserve">Raily Chowk</t>
  </si>
  <si>
    <t xml:space="preserve">Sec-11/10</t>
  </si>
  <si>
    <t xml:space="preserve">32</t>
  </si>
  <si>
    <t xml:space="preserve">Sec-10/16</t>
  </si>
  <si>
    <t xml:space="preserve">Sec-17/16</t>
  </si>
  <si>
    <t xml:space="preserve">Sec-8/18</t>
  </si>
  <si>
    <t xml:space="preserve">H/B</t>
  </si>
  <si>
    <t xml:space="preserve">Old Pkl</t>
  </si>
  <si>
    <t xml:space="preserve">Sector-2/11</t>
  </si>
  <si>
    <t xml:space="preserve">32B</t>
  </si>
  <si>
    <t xml:space="preserve">Grain Mkt-26</t>
  </si>
  <si>
    <t xml:space="preserve">Kalagram H.B.Chowk</t>
  </si>
  <si>
    <t xml:space="preserve">8/17 Pkl</t>
  </si>
  <si>
    <t xml:space="preserve">9/16 Pkl</t>
  </si>
  <si>
    <t xml:space="preserve">11/4 Outer</t>
  </si>
  <si>
    <t xml:space="preserve">3/21 Pkl</t>
  </si>
  <si>
    <t xml:space="preserve">Sec-24 Pkl</t>
  </si>
  <si>
    <t xml:space="preserve">25 Pkl</t>
  </si>
  <si>
    <t xml:space="preserve">26 Pkl</t>
  </si>
  <si>
    <t xml:space="preserve">27/28 Pkl</t>
  </si>
  <si>
    <t xml:space="preserve">Sec-36/37</t>
  </si>
  <si>
    <t xml:space="preserve">35</t>
  </si>
  <si>
    <t xml:space="preserve">Mundi Kharar</t>
  </si>
  <si>
    <t xml:space="preserve">37/38</t>
  </si>
  <si>
    <t xml:space="preserve">35A</t>
  </si>
  <si>
    <t xml:space="preserve">P.B. Barrier</t>
  </si>
  <si>
    <t xml:space="preserve">Jalvayu Tower</t>
  </si>
  <si>
    <t xml:space="preserve">Sec-124/125</t>
  </si>
  <si>
    <t xml:space="preserve">Sector-123</t>
  </si>
  <si>
    <t xml:space="preserve">Atawa</t>
  </si>
  <si>
    <t xml:space="preserve">35B</t>
  </si>
  <si>
    <t xml:space="preserve">MundiKharar</t>
  </si>
  <si>
    <t xml:space="preserve">Sec 18mkt</t>
  </si>
  <si>
    <t xml:space="preserve">37</t>
  </si>
  <si>
    <t xml:space="preserve">Sec 19mkt</t>
  </si>
  <si>
    <t xml:space="preserve">28mkt</t>
  </si>
  <si>
    <t xml:space="preserve">Rly. Stn.</t>
  </si>
  <si>
    <t xml:space="preserve">H/Board</t>
  </si>
  <si>
    <t xml:space="preserve">Sec-10A/11B</t>
  </si>
  <si>
    <t xml:space="preserve">38B</t>
  </si>
  <si>
    <t xml:space="preserve">Sec-10D/11C</t>
  </si>
  <si>
    <t xml:space="preserve">Sec-16/10 GMCH</t>
  </si>
  <si>
    <t xml:space="preserve">Sec-16/17-Matka Chowk</t>
  </si>
  <si>
    <t xml:space="preserve">Sec-16/17 MC Office</t>
  </si>
  <si>
    <t xml:space="preserve">Sec-22/23</t>
  </si>
  <si>
    <t xml:space="preserve">Kisan Bhawan</t>
  </si>
  <si>
    <t xml:space="preserve">Sec-35/36</t>
  </si>
  <si>
    <t xml:space="preserve">Sec-43/42</t>
  </si>
  <si>
    <t xml:space="preserve">Sec-51/52</t>
  </si>
  <si>
    <t xml:space="preserve">YPS(UT</t>
  </si>
  <si>
    <t xml:space="preserve">Border)</t>
  </si>
  <si>
    <t xml:space="preserve">Sec-61/62</t>
  </si>
  <si>
    <t xml:space="preserve">Sec-70/69</t>
  </si>
  <si>
    <t xml:space="preserve">Sec-68/79</t>
  </si>
  <si>
    <t xml:space="preserve">Sec-67/80</t>
  </si>
  <si>
    <t xml:space="preserve">Sec-66/81 (IISER)</t>
  </si>
  <si>
    <t xml:space="preserve">Sec-82</t>
  </si>
  <si>
    <t xml:space="preserve">Aero City Block-D</t>
  </si>
  <si>
    <t xml:space="preserve">Manav International School</t>
  </si>
  <si>
    <t xml:space="preserve">Amity University</t>
  </si>
  <si>
    <t xml:space="preserve">Sec-82A</t>
  </si>
  <si>
    <t xml:space="preserve">HDFC head office chowk</t>
  </si>
  <si>
    <t xml:space="preserve">Plaksha University</t>
  </si>
  <si>
    <t xml:space="preserve">R.B.P. City</t>
  </si>
  <si>
    <t xml:space="preserve">Sunny-Gilco Park</t>
  </si>
  <si>
    <t xml:space="preserve">T-Point Flyover Derri</t>
  </si>
  <si>
    <t xml:space="preserve">Mohali Ph-11</t>
  </si>
  <si>
    <t xml:space="preserve">39</t>
  </si>
  <si>
    <t xml:space="preserve">Mohali Rly. Stn.</t>
  </si>
  <si>
    <t xml:space="preserve">Indl. Area Ph-9</t>
  </si>
  <si>
    <t xml:space="preserve">Mohali Sec-66/67 Mkts</t>
  </si>
  <si>
    <t xml:space="preserve">67/68</t>
  </si>
  <si>
    <t xml:space="preserve">68 outer</t>
  </si>
  <si>
    <t xml:space="preserve">69/68</t>
  </si>
  <si>
    <t xml:space="preserve">Kumbra</t>
  </si>
  <si>
    <t xml:space="preserve">Edu.Board Pb.</t>
  </si>
  <si>
    <t xml:space="preserve">Fortis</t>
  </si>
  <si>
    <t xml:space="preserve">Ph-7 Light Point</t>
  </si>
  <si>
    <t xml:space="preserve">Chawla Chowk</t>
  </si>
  <si>
    <t xml:space="preserve">Sec-60/61</t>
  </si>
  <si>
    <t xml:space="preserve">52/61</t>
  </si>
  <si>
    <t xml:space="preserve">YPS Chowk</t>
  </si>
  <si>
    <t xml:space="preserve">Khudalahora</t>
  </si>
  <si>
    <t xml:space="preserve">Manakpur</t>
  </si>
  <si>
    <t xml:space="preserve">Kubheri</t>
  </si>
  <si>
    <t xml:space="preserve">K.Bhawan</t>
  </si>
  <si>
    <t xml:space="preserve">71</t>
  </si>
  <si>
    <t xml:space="preserve">27 Mkts</t>
  </si>
  <si>
    <t xml:space="preserve">M/M Complex</t>
  </si>
  <si>
    <t xml:space="preserve">M/M Town</t>
  </si>
  <si>
    <t xml:space="preserve">Swastik Vihar</t>
  </si>
  <si>
    <t xml:space="preserve">Saketri</t>
  </si>
  <si>
    <t xml:space="preserve">Saketri (Kaimbwala)</t>
  </si>
  <si>
    <t xml:space="preserve">Sec-20/30</t>
  </si>
  <si>
    <t xml:space="preserve">79</t>
  </si>
  <si>
    <t xml:space="preserve">32 Hospital</t>
  </si>
  <si>
    <t xml:space="preserve">Dayalpura</t>
  </si>
  <si>
    <t xml:space="preserve">Chhatbir Zoo</t>
  </si>
  <si>
    <t xml:space="preserve">20mkt</t>
  </si>
  <si>
    <t xml:space="preserve">80</t>
  </si>
  <si>
    <t xml:space="preserve">30mkt</t>
  </si>
  <si>
    <t xml:space="preserve">29mkt</t>
  </si>
  <si>
    <t xml:space="preserve">Piccdly Chowk</t>
  </si>
  <si>
    <t xml:space="preserve">85</t>
  </si>
  <si>
    <t xml:space="preserve">Sec34/35</t>
  </si>
  <si>
    <t xml:space="preserve">101</t>
  </si>
  <si>
    <t xml:space="preserve">52/51</t>
  </si>
  <si>
    <t xml:space="preserve">61/62</t>
  </si>
  <si>
    <t xml:space="preserve">68/80</t>
  </si>
  <si>
    <t xml:space="preserve">81/82</t>
  </si>
  <si>
    <t xml:space="preserve">Manoli</t>
  </si>
  <si>
    <t xml:space="preserve">U.T. Border</t>
  </si>
  <si>
    <t xml:space="preserve">123A</t>
  </si>
  <si>
    <t xml:space="preserve">64mkt</t>
  </si>
  <si>
    <t xml:space="preserve">65mkt</t>
  </si>
  <si>
    <t xml:space="preserve">Mohali R/Station Ph-11</t>
  </si>
  <si>
    <t xml:space="preserve">K.C</t>
  </si>
  <si>
    <t xml:space="preserve">202</t>
  </si>
  <si>
    <t xml:space="preserve">U.T.Sectt</t>
  </si>
  <si>
    <t xml:space="preserve">Pb/HR.Sectt</t>
  </si>
  <si>
    <t xml:space="preserve">PB Civil Sectt (High Court)</t>
  </si>
  <si>
    <t xml:space="preserve">Sec-44/43</t>
  </si>
  <si>
    <t xml:space="preserve">551</t>
  </si>
  <si>
    <t xml:space="preserve">JW Marriott</t>
  </si>
  <si>
    <t xml:space="preserve">21/21 Aroma</t>
  </si>
  <si>
    <t xml:space="preserve">16/10 General Hospital</t>
  </si>
  <si>
    <t xml:space="preserve">NEW OPD</t>
  </si>
  <si>
    <t xml:space="preserve">PGI (Express)</t>
  </si>
  <si>
    <t xml:space="preserve">TPT</t>
  </si>
  <si>
    <t xml:space="preserve">206</t>
  </si>
  <si>
    <t xml:space="preserve">Bhankarpur</t>
  </si>
  <si>
    <t xml:space="preserve">212</t>
  </si>
  <si>
    <t xml:space="preserve">Dc.office/Lakhnour</t>
  </si>
  <si>
    <t xml:space="preserve">213</t>
  </si>
  <si>
    <t xml:space="preserve">Sec-69/68</t>
  </si>
  <si>
    <t xml:space="preserve">Fortis/PSEB</t>
  </si>
  <si>
    <t xml:space="preserve">Sec-62/63</t>
  </si>
  <si>
    <t xml:space="preserve">Sec-51</t>
  </si>
  <si>
    <t xml:space="preserve">Sec-44</t>
  </si>
  <si>
    <t xml:space="preserve">Sec-45</t>
  </si>
  <si>
    <t xml:space="preserve">Sec-32/31(Hospital)</t>
  </si>
  <si>
    <t xml:space="preserve">Singhpura</t>
  </si>
  <si>
    <t xml:space="preserve">Bhankharpur</t>
  </si>
  <si>
    <t xml:space="preserve">KhudaLahora</t>
  </si>
  <si>
    <t xml:space="preserve">214</t>
  </si>
  <si>
    <t xml:space="preserve">Sec10/16</t>
  </si>
  <si>
    <t xml:space="preserve">Indl. area/Ph.1</t>
  </si>
  <si>
    <t xml:space="preserve">Rly. Station</t>
  </si>
  <si>
    <t xml:space="preserve">Rly. Crossing</t>
  </si>
  <si>
    <t xml:space="preserve">H/B.Chowk</t>
  </si>
  <si>
    <t xml:space="preserve">M.Hospital</t>
  </si>
  <si>
    <t xml:space="preserve">old P.Kula</t>
  </si>
  <si>
    <t xml:space="preserve">HalloMajra</t>
  </si>
  <si>
    <t xml:space="preserve">219</t>
  </si>
  <si>
    <t xml:space="preserve">Naba Sahib</t>
  </si>
  <si>
    <t xml:space="preserve">Joshi Farm</t>
  </si>
  <si>
    <t xml:space="preserve">Victoria Enclave</t>
  </si>
  <si>
    <t xml:space="preserve">Bhabhat</t>
  </si>
  <si>
    <t xml:space="preserve">240</t>
  </si>
  <si>
    <t xml:space="preserve">29 mkts</t>
  </si>
  <si>
    <t xml:space="preserve">Mata Mansa Devi</t>
  </si>
  <si>
    <t xml:space="preserve">Sec-20/33</t>
  </si>
  <si>
    <t xml:space="preserve">216</t>
  </si>
  <si>
    <t xml:space="preserve">Sec-52/53</t>
  </si>
  <si>
    <t xml:space="preserve">241</t>
  </si>
  <si>
    <t xml:space="preserve">Sec-52/61</t>
  </si>
  <si>
    <t xml:space="preserve">Sec-51/50</t>
  </si>
  <si>
    <t xml:space="preserve">49/50</t>
  </si>
  <si>
    <t xml:space="preserve">50/45</t>
  </si>
  <si>
    <t xml:space="preserve">44C/45D Gaushala</t>
  </si>
  <si>
    <t xml:space="preserve">45mkt</t>
  </si>
  <si>
    <t xml:space="preserve">32/33</t>
  </si>
  <si>
    <t xml:space="preserve">TPT Chowk</t>
  </si>
  <si>
    <t xml:space="preserve">Indl.Area Ph-1</t>
  </si>
  <si>
    <t xml:space="preserve">Khudalahorra</t>
  </si>
  <si>
    <t xml:space="preserve">25/25A</t>
  </si>
  <si>
    <t xml:space="preserve">Khera</t>
  </si>
  <si>
    <t xml:space="preserve">Jandemajra</t>
  </si>
  <si>
    <t xml:space="preserve">Sec-16/23</t>
  </si>
  <si>
    <t xml:space="preserve">35D</t>
  </si>
  <si>
    <t xml:space="preserve">24/15 Indra Holiday Home</t>
  </si>
  <si>
    <t xml:space="preserve">24/25 Light Point</t>
  </si>
  <si>
    <t xml:space="preserve">24/25 Bhaskar Chowk</t>
  </si>
  <si>
    <t xml:space="preserve">24/37 Batra Theater</t>
  </si>
  <si>
    <t xml:space="preserve">40/55</t>
  </si>
  <si>
    <t xml:space="preserve">39/56</t>
  </si>
  <si>
    <t xml:space="preserve">ISBT-Mohali</t>
  </si>
  <si>
    <t xml:space="preserve">Balongii</t>
  </si>
  <si>
    <t xml:space="preserve">Desumajra/Nijjer Chowk</t>
  </si>
  <si>
    <t xml:space="preserve">Mundi Kharar/Gilco</t>
  </si>
  <si>
    <t xml:space="preserve">Bansawali Chungi</t>
  </si>
  <si>
    <t xml:space="preserve">Kila Chungi</t>
  </si>
  <si>
    <t xml:space="preserve">Derri</t>
  </si>
  <si>
    <t xml:space="preserve">242</t>
  </si>
  <si>
    <t xml:space="preserve">Saneta</t>
  </si>
  <si>
    <t xml:space="preserve">SCL(Light Point)</t>
  </si>
  <si>
    <t xml:space="preserve">IVY Hospital</t>
  </si>
  <si>
    <t xml:space="preserve">Ph-5/3 light point Madanpur</t>
  </si>
  <si>
    <t xml:space="preserve">Furniture Chowk</t>
  </si>
  <si>
    <t xml:space="preserve">Sector-42 College</t>
  </si>
  <si>
    <t xml:space="preserve">16 Hospital</t>
  </si>
  <si>
    <t xml:space="preserve">Kurali</t>
  </si>
  <si>
    <t xml:space="preserve">76</t>
  </si>
  <si>
    <t xml:space="preserve">Omex Tower</t>
  </si>
  <si>
    <t xml:space="preserve">31</t>
  </si>
  <si>
    <t xml:space="preserve">Risort Lake</t>
  </si>
  <si>
    <t xml:space="preserve">Ambika Florance</t>
  </si>
  <si>
    <t xml:space="preserve">Omex Phase-1/2</t>
  </si>
  <si>
    <t xml:space="preserve">Ranimajra</t>
  </si>
  <si>
    <t xml:space="preserve">Sainimajra</t>
  </si>
  <si>
    <t xml:space="preserve">Bansepur/Omex Cassia</t>
  </si>
  <si>
    <t xml:space="preserve">Tidan Cricket Stadium</t>
  </si>
  <si>
    <t xml:space="preserve">Togan</t>
  </si>
  <si>
    <t xml:space="preserve">Milk Colony</t>
  </si>
  <si>
    <t xml:space="preserve">Dhanas Bridge</t>
  </si>
  <si>
    <t xml:space="preserve">Sec-38/25 Light Point</t>
  </si>
  <si>
    <t xml:space="preserve">Sec-38/25 Dental College</t>
  </si>
  <si>
    <t xml:space="preserve">Sec-24/25 Light Point</t>
  </si>
  <si>
    <t xml:space="preserve">Pb. Univ.</t>
  </si>
  <si>
    <t xml:space="preserve">Sec10A/11B</t>
  </si>
  <si>
    <t xml:space="preserve">Sec-10/11 Mkt</t>
  </si>
  <si>
    <t xml:space="preserve">Sec-10D/11</t>
  </si>
  <si>
    <t xml:space="preserve">7/26</t>
  </si>
  <si>
    <t xml:space="preserve">SGGS-26 College</t>
  </si>
  <si>
    <t xml:space="preserve">Police Line-Bapu Dham</t>
  </si>
  <si>
    <t xml:space="preserve">Ind.Phase-I</t>
  </si>
  <si>
    <t xml:space="preserve">Manimajra/Fun Republic</t>
  </si>
  <si>
    <t xml:space="preserve">51/52</t>
  </si>
  <si>
    <t xml:space="preserve">38AB</t>
  </si>
  <si>
    <t xml:space="preserve">YPS Cwk</t>
  </si>
  <si>
    <t xml:space="preserve">61/61</t>
  </si>
  <si>
    <t xml:space="preserve">70/69 Sohana</t>
  </si>
  <si>
    <t xml:space="preserve">68/79</t>
  </si>
  <si>
    <t xml:space="preserve">67/80</t>
  </si>
  <si>
    <t xml:space="preserve">66/81</t>
  </si>
  <si>
    <t xml:space="preserve">ISSER</t>
  </si>
  <si>
    <t xml:space="preserve">Sec-66/82</t>
  </si>
  <si>
    <t xml:space="preserve">Mohali Airport Chowk</t>
  </si>
  <si>
    <t xml:space="preserve">Shafipur (Flyover)</t>
  </si>
  <si>
    <t xml:space="preserve">Jhurheri</t>
  </si>
  <si>
    <t xml:space="preserve">New Airport</t>
  </si>
  <si>
    <t xml:space="preserve">Note: Stop names are taken verbatim from route descriptions (e.g. '22/17' vs '17/22' may refer to the same junction but appear as separate rows here). Treat this sheet as a first-pass coverage map, not a canonical stop registry.</t>
  </si>
  <si>
    <t xml:space="preserve">Route No.</t>
  </si>
  <si>
    <t xml:space="preserve">Origin</t>
  </si>
  <si>
    <t xml:space="preserve">Destination</t>
  </si>
  <si>
    <t xml:space="preserve">Operating Hours</t>
  </si>
  <si>
    <t xml:space="preserve">Frequency (min)</t>
  </si>
  <si>
    <t xml:space="preserve">Freq Min</t>
  </si>
  <si>
    <t xml:space="preserve">Freq Max</t>
  </si>
  <si>
    <t xml:space="preserve">Route Length (km)</t>
  </si>
  <si>
    <t xml:space="preserve">No. of Buses Allocated</t>
  </si>
  <si>
    <t xml:space="preserve">No. of Via-Stops Listed</t>
  </si>
  <si>
    <t xml:space="preserve">06.10-17.20 / 07.30-18.40</t>
  </si>
  <si>
    <t xml:space="preserve">05.40-20.30</t>
  </si>
  <si>
    <t xml:space="preserve">20-25</t>
  </si>
  <si>
    <t xml:space="preserve">05.30-20.20</t>
  </si>
  <si>
    <t xml:space="preserve">06.45-19.40</t>
  </si>
  <si>
    <t xml:space="preserve">25</t>
  </si>
  <si>
    <t xml:space="preserve">07.25-20.20</t>
  </si>
  <si>
    <t xml:space="preserve">05.25-21.00</t>
  </si>
  <si>
    <t xml:space="preserve">15-30</t>
  </si>
  <si>
    <t xml:space="preserve">05.50-21.25</t>
  </si>
  <si>
    <t xml:space="preserve">05.00-17.10 / 06.30-18.40</t>
  </si>
  <si>
    <t xml:space="preserve">05.45-18.40 / 07.00-17.25</t>
  </si>
  <si>
    <t xml:space="preserve">06.10-20.30</t>
  </si>
  <si>
    <t xml:space="preserve">05.40-20.45</t>
  </si>
  <si>
    <t xml:space="preserve">10:10-15.50</t>
  </si>
  <si>
    <t xml:space="preserve">06.15-19.45 / 07.00-20.30</t>
  </si>
  <si>
    <t xml:space="preserve">90</t>
  </si>
  <si>
    <t xml:space="preserve">08.25-18.00 / 07.10-19.15</t>
  </si>
  <si>
    <t xml:space="preserve">06.15-19.45 / 05.50-21.00</t>
  </si>
  <si>
    <t xml:space="preserve">07.20-19.25 / 08.30-20.15</t>
  </si>
  <si>
    <t xml:space="preserve">05.30-18.15 / 07.45-19.45</t>
  </si>
  <si>
    <t xml:space="preserve">60</t>
  </si>
  <si>
    <t xml:space="preserve">05.40-18.20 / 06.20-18.50</t>
  </si>
  <si>
    <t xml:space="preserve">08.30-14.20</t>
  </si>
  <si>
    <t xml:space="preserve">50</t>
  </si>
  <si>
    <t xml:space="preserve">06.05-20.50</t>
  </si>
  <si>
    <t xml:space="preserve">75</t>
  </si>
  <si>
    <t xml:space="preserve">05.30-17.35 / 06.40-18.45</t>
  </si>
  <si>
    <t xml:space="preserve">15-20</t>
  </si>
  <si>
    <t xml:space="preserve">08.35-16.40</t>
  </si>
  <si>
    <t xml:space="preserve">05.40-19.50 / 06.40-20.40</t>
  </si>
  <si>
    <t xml:space="preserve">06.10-19.15 / 06.15-20.15</t>
  </si>
  <si>
    <t xml:space="preserve">08.30-14.30</t>
  </si>
  <si>
    <t xml:space="preserve">05.30-20.00 / 06.45-20.45</t>
  </si>
  <si>
    <t xml:space="preserve">07.45-18.45 / 06.15-20.15</t>
  </si>
  <si>
    <t xml:space="preserve">05.40-19.20 / 06.50-20.30</t>
  </si>
  <si>
    <t xml:space="preserve">05.30-19.40 / 06.30-20.40</t>
  </si>
  <si>
    <t xml:space="preserve">24A</t>
  </si>
  <si>
    <t xml:space="preserve">22.00-04.40</t>
  </si>
  <si>
    <t xml:space="preserve">24C</t>
  </si>
  <si>
    <t xml:space="preserve">22.15-05.20</t>
  </si>
  <si>
    <t xml:space="preserve">06.00-19.25 / 06.00-18.50</t>
  </si>
  <si>
    <t xml:space="preserve">06.15-18.30 / 07.45-20.00</t>
  </si>
  <si>
    <t xml:space="preserve">06.35-19.55 / 06.05-19.55</t>
  </si>
  <si>
    <t xml:space="preserve">25-30</t>
  </si>
  <si>
    <t xml:space="preserve">05.10-19.45 / 06.25-21.00</t>
  </si>
  <si>
    <t xml:space="preserve">06.30-19.00 / 07.20-19.00</t>
  </si>
  <si>
    <t xml:space="preserve">05.00-19.00 / 06.45-20.55</t>
  </si>
  <si>
    <t xml:space="preserve">06.05-19.45 / 06.25-19.05</t>
  </si>
  <si>
    <t xml:space="preserve">34</t>
  </si>
  <si>
    <t xml:space="preserve">06.25-19.25 / 06.15-18.55</t>
  </si>
  <si>
    <t xml:space="preserve">05.40-19.00 / 06.50-20.10</t>
  </si>
  <si>
    <t xml:space="preserve">06.00-19.20 / 07.20-20.40</t>
  </si>
  <si>
    <t xml:space="preserve">05.50-21.30 / 06.40-21.20</t>
  </si>
  <si>
    <t xml:space="preserve">21.10-03.50</t>
  </si>
  <si>
    <t xml:space="preserve">05.20-17.50 / 07.05-19.35</t>
  </si>
  <si>
    <t xml:space="preserve">08.05-19.25 / 06.35-20.55</t>
  </si>
  <si>
    <t xml:space="preserve">05.00-18.45 / 06.20-20.15</t>
  </si>
  <si>
    <t xml:space="preserve">07.30-19.30</t>
  </si>
  <si>
    <t xml:space="preserve">07.45-18.15 / 07.00-18.15</t>
  </si>
  <si>
    <t xml:space="preserve">06.45-20.15 / 06.30-20.00</t>
  </si>
  <si>
    <t xml:space="preserve">06.30-19.00 / 06.15-19.45</t>
  </si>
  <si>
    <t xml:space="preserve">07.20-17.40</t>
  </si>
  <si>
    <t xml:space="preserve">06.25-19.25 / 06.40-19.40</t>
  </si>
  <si>
    <t xml:space="preserve">07.15-19.15 / 08.00-20.00</t>
  </si>
  <si>
    <t xml:space="preserve">15</t>
  </si>
  <si>
    <t xml:space="preserve">06.15-19.45 / 05.30-19.40</t>
  </si>
  <si>
    <t xml:space="preserve">07.10-19.15 / 08.20-20.35</t>
  </si>
  <si>
    <t xml:space="preserve">10-15</t>
  </si>
  <si>
    <t xml:space="preserve">06.50-19.50 / 06.10-19.10</t>
  </si>
  <si>
    <t xml:space="preserve">07.00-19.20 / 07.05-18.25</t>
  </si>
  <si>
    <t xml:space="preserve">50-55</t>
  </si>
  <si>
    <t xml:space="preserve">07.00-19.15 / 05.50-18.05</t>
  </si>
  <si>
    <t xml:space="preserve">07.00-19.00 / 06.30-19.30</t>
  </si>
  <si>
    <t xml:space="preserve">05.40-20.15 / 06.55-21.30</t>
  </si>
  <si>
    <t xml:space="preserve">05.00-20.00 / 06.20-21.20 (fixed departures)</t>
  </si>
  <si>
    <t xml:space="preserve">05.00-19.20 / 06.20-21.20 (fixed departures)</t>
  </si>
  <si>
    <t xml:space="preserve">05.25-19.50 / 05.15-21.10</t>
  </si>
  <si>
    <t xml:space="preserve">20-40</t>
  </si>
  <si>
    <t xml:space="preserve">05.55-19.45 / 06.55-20.45</t>
  </si>
  <si>
    <t xml:space="preserve">07.55-17.20 / 06.15-19.00</t>
  </si>
  <si>
    <t xml:space="preserve">05.15-19.10 / 06.20-20.15</t>
  </si>
  <si>
    <t xml:space="preserve">30-40</t>
  </si>
  <si>
    <t xml:space="preserve">06.10-19.30 / 08.10-21.10</t>
  </si>
  <si>
    <t xml:space="preserve">00.40-22.10 / 01.50-23.30</t>
  </si>
  <si>
    <t xml:space="preserve">TOTAL</t>
  </si>
  <si>
    <t xml:space="preserve">OPTIMIZATION MODEL PARAMETERS — derived from Synopsis Section 3.1</t>
  </si>
  <si>
    <t xml:space="preserve">Sets: R = {68 routes below}, T = time period (not split — see note at bottom)</t>
  </si>
  <si>
    <t xml:space="preserve">Extra stop time at refuelling, 17, 43, railway, CTU not included</t>
  </si>
  <si>
    <t xml:space="preserve">assumed with avg speed 22km/hr</t>
  </si>
  <si>
    <t xml:space="preserve">least no of buses/hr</t>
  </si>
  <si>
    <t xml:space="preserve">max no of buses per hr</t>
  </si>
  <si>
    <t xml:space="preserve">AVERAGE(f_rt^min, f_rt^max)</t>
  </si>
  <si>
    <t xml:space="preserve">x_rt ÷ τ_r</t>
  </si>
  <si>
    <t xml:space="preserve">Route
(r)</t>
  </si>
  <si>
    <t xml:space="preserve">d_r
Route Distance (km)</t>
  </si>
  <si>
    <t xml:space="preserve">τ_r
Cycle Time (hrs, ESTIMATED)</t>
  </si>
  <si>
    <t xml:space="preserve">x_rt
Buses Allocated (baseline)</t>
  </si>
  <si>
    <t xml:space="preserve">f_rt^min
(dep/hr)</t>
  </si>
  <si>
    <t xml:space="preserve">f_rt^max
(dep/hr)</t>
  </si>
  <si>
    <t xml:space="preserve">f_rt
Implied Frequency (dep/hr, midpoint)</t>
  </si>
  <si>
    <t xml:space="preserve">Max Feasible Frequency
(x_rt / τ_r)</t>
  </si>
  <si>
    <t xml:space="preserve">D_rt
Passenger Demand</t>
  </si>
  <si>
    <t xml:space="preserve">C
Bus Capacity</t>
  </si>
  <si>
    <t xml:space="preserve">o_rt
Overcrowding</t>
  </si>
  <si>
    <t xml:space="preserve">NA</t>
  </si>
  <si>
    <t xml:space="preserve">B (Total Fleet Pool)</t>
  </si>
  <si>
    <t xml:space="preserve">Legend</t>
  </si>
  <si>
    <t xml:space="preserve">White cells</t>
  </si>
  <si>
    <t xml:space="preserve">Computed directly from the timetable PDF (route length, frequency range, buses currently allocated).</t>
  </si>
  <si>
    <t xml:space="preserve">Yellow cells</t>
  </si>
  <si>
    <t xml:space="preserve">Estimated under a stated assumption — τ_r assumes an average operating speed of 22 km/h (typical mixed urban traffic for Chandigarh; not a measured value). Adjust B3-style formula input if you have a better estimate.</t>
  </si>
  <si>
    <t xml:space="preserve">Red italic text</t>
  </si>
  <si>
    <t xml:space="preserve">Not derivable from this dataset. D_rt (passenger demand), C (bus capacity), and o_rt (overcrowding) require ridership data / fleet specs that aren't in the timetable — this is exactly the data-gap your synopsis Section 6 identifies.</t>
  </si>
  <si>
    <t xml:space="preserve">Note: T (time periods, e.g. morning peak / midday off-peak) is not split here because the timetable gives only a single all-day frequency band per route, not per-period frequencies. f_rt^min/f_rt^max above are the operational bounds implied by the published 'X-Y min' frequency range, not distinct AM/PM values.</t>
  </si>
  <si>
    <t xml:space="preserve">Metric</t>
  </si>
  <si>
    <t xml:space="preserve">Value</t>
  </si>
  <si>
    <t xml:space="preserve">Total Routes (Depot II, III, IV combined)</t>
  </si>
  <si>
    <t xml:space="preserve">Total Buses Deployed Across All Routes</t>
  </si>
  <si>
    <t xml:space="preserve">Total Route Network Length (km, sum of all routes)</t>
  </si>
  <si>
    <t xml:space="preserve">Average Route Length (km)</t>
  </si>
  <si>
    <t xml:space="preserve">Average Buses per Route</t>
  </si>
  <si>
    <t xml:space="preserve">Unique Stops / Landmarks Identified</t>
  </si>
  <si>
    <t xml:space="preserve">Top 10 Busiest Interchange Points (by number of routes serving)</t>
  </si>
  <si>
    <t xml:space="preserve">Routes Serving It</t>
  </si>
  <si>
    <t xml:space="preserve">Data source</t>
  </si>
  <si>
    <t xml:space="preserve">CTU Time Table of CTU Bus Services, Local &amp; Tri-City Routes, Depot Nos. II, III &amp; IV, as on 25.07.2026 (chdctu.gov.in)</t>
  </si>
  <si>
    <t xml:space="preserve">Route Master checked against this PDF on 15 Oct 2026: see sheet "PDF Verification"</t>
  </si>
  <si>
    <t xml:space="preserve">Period definitions (assumption, editable)</t>
  </si>
  <si>
    <t xml:space="preserve">AM peak</t>
  </si>
  <si>
    <t xml:space="preserve">Start / End in columns B / C. These are modelling assumptions (not from the PDF) used only for the active-period flags below.</t>
  </si>
  <si>
    <t xml:space="preserve">Midday</t>
  </si>
  <si>
    <t xml:space="preserve">Source of windows: CTU Time Table of Local &amp; Tri-City Routes, Depots II, III &amp; IV, as on 25.07.2026.</t>
  </si>
  <si>
    <t xml:space="preserve">PM peak</t>
  </si>
  <si>
    <t xml:space="preserve">Direction A</t>
  </si>
  <si>
    <t xml:space="preserve">A first</t>
  </si>
  <si>
    <t xml:space="preserve">A last</t>
  </si>
  <si>
    <t xml:space="preserve">Direction B</t>
  </si>
  <si>
    <t xml:space="preserve">B first</t>
  </si>
  <si>
    <t xml:space="preserve">B last</t>
  </si>
  <si>
    <t xml:space="preserve">First departure</t>
  </si>
  <si>
    <t xml:space="preserve">Last departure</t>
  </si>
  <si>
    <t xml:space="preserve">Daily span (hrs)</t>
  </si>
  <si>
    <t xml:space="preserve">Service type</t>
  </si>
  <si>
    <t xml:space="preserve">Active AM</t>
  </si>
  <si>
    <t xml:space="preserve">Active Midday</t>
  </si>
  <si>
    <t xml:space="preserve">Active PM</t>
  </si>
  <si>
    <t xml:space="preserve">Notes</t>
  </si>
  <si>
    <t xml:space="preserve">New Maloya Colony to Manimajra</t>
  </si>
  <si>
    <t xml:space="preserve">Manimajra to New Maloya Colony</t>
  </si>
  <si>
    <t xml:space="preserve">Day service</t>
  </si>
  <si>
    <t xml:space="preserve">Loop (single direction)</t>
  </si>
  <si>
    <t xml:space="preserve">First trip 05.25 from ISBT-43 to Ram Darbar; regular service from 05.45.</t>
  </si>
  <si>
    <t xml:space="preserve">First trip 05.50 from ISBT-43 to Ram Darbar; regular service from 06.10 (window shown starts 05.50).</t>
  </si>
  <si>
    <t xml:space="preserve">New Maloya Colony to Raipur Kalan</t>
  </si>
  <si>
    <t xml:space="preserve">Raipur Kalan to New Maloya Colony</t>
  </si>
  <si>
    <t xml:space="preserve">New Maloya Colony to Ramdarbar</t>
  </si>
  <si>
    <t xml:space="preserve">Ramdarbar to New Maloya Colony</t>
  </si>
  <si>
    <t xml:space="preserve">05.40 start is from Railway Station; last trip 20.45 runs only up to Railway Station.</t>
  </si>
  <si>
    <t xml:space="preserve">Rock Garden to Sukhna Lake</t>
  </si>
  <si>
    <t xml:space="preserve">Tourist link (short)</t>
  </si>
  <si>
    <t xml:space="preserve">PDF gives a single window for the route.</t>
  </si>
  <si>
    <t xml:space="preserve">ISBT-17 to Badi Karoran</t>
  </si>
  <si>
    <t xml:space="preserve">Badi Karoran to ISBT-17</t>
  </si>
  <si>
    <t xml:space="preserve">ISBT-43 to Rani Majra</t>
  </si>
  <si>
    <t xml:space="preserve">Rani Majra to ISBT-43</t>
  </si>
  <si>
    <t xml:space="preserve">ISBT-43 to Eco City Block-2 (Takipur)</t>
  </si>
  <si>
    <t xml:space="preserve">Eco City Block-2 (Takipur) to ISBT-43</t>
  </si>
  <si>
    <t xml:space="preserve">ISBT-43 to Lake</t>
  </si>
  <si>
    <t xml:space="preserve">Lake to ISBT-43</t>
  </si>
  <si>
    <t xml:space="preserve">Jayanti Majri to Mansa Devi</t>
  </si>
  <si>
    <t xml:space="preserve">Mansa Devi to Jayanti Majri</t>
  </si>
  <si>
    <t xml:space="preserve">First Jayanti Majri trip 05.30 starts at S.P. Barrier; last 18.15 trip runs only up to ISBT-17.</t>
  </si>
  <si>
    <t xml:space="preserve">PGI to Platinum Homes</t>
  </si>
  <si>
    <t xml:space="preserve">Platinum Homes to PGI</t>
  </si>
  <si>
    <t xml:space="preserve">PGI to Panchkula Bus Stand</t>
  </si>
  <si>
    <t xml:space="preserve">Panchkula Bus Stand to PGI</t>
  </si>
  <si>
    <t xml:space="preserve">Same window printed for both directions.</t>
  </si>
  <si>
    <t xml:space="preserve">Mohali Ph-XI to PGI</t>
  </si>
  <si>
    <t xml:space="preserve">ISBT-43 to Manimajra</t>
  </si>
  <si>
    <t xml:space="preserve">Manimajra to ISBT-43</t>
  </si>
  <si>
    <t xml:space="preserve">Railway Station to CIVIL SECTT.</t>
  </si>
  <si>
    <t xml:space="preserve">ISBT-43 to Behlana</t>
  </si>
  <si>
    <t xml:space="preserve">Behlana to ISBT-43</t>
  </si>
  <si>
    <t xml:space="preserve">ISBT-43 to Kaimbwala</t>
  </si>
  <si>
    <t xml:space="preserve">Kaimbwala to ISBT-43</t>
  </si>
  <si>
    <t xml:space="preserve">ISBT-43 to Mansa Devi</t>
  </si>
  <si>
    <t xml:space="preserve">Mansa Devi to ISBT-43</t>
  </si>
  <si>
    <t xml:space="preserve">CHD to Kharar</t>
  </si>
  <si>
    <t xml:space="preserve">Kharar to CHD</t>
  </si>
  <si>
    <t xml:space="preserve">Extra fixed trips not in windows: ISBT-17 to ISBT-43 at 05.45, 06.45, 07.45; Kharar to ISBT-43 at 19.00, 19.30, 20.00, 20.30, 21.00, 21.20.</t>
  </si>
  <si>
    <t xml:space="preserve">ISBT-43 to IT Park</t>
  </si>
  <si>
    <t xml:space="preserve">IT Park to ISBT-43</t>
  </si>
  <si>
    <t xml:space="preserve">ISBT-43 to Khuda Ali Sher</t>
  </si>
  <si>
    <t xml:space="preserve">Khuda Ali Sher to ISBT-43</t>
  </si>
  <si>
    <t xml:space="preserve">ISBT-43 to PGI</t>
  </si>
  <si>
    <t xml:space="preserve">Night service</t>
  </si>
  <si>
    <t xml:space="preserve">ISBT-17 to ISBT-43</t>
  </si>
  <si>
    <t xml:space="preserve">Mullanpur Eco City to Dhakoli</t>
  </si>
  <si>
    <t xml:space="preserve">Dhakoli to Mullanpur Eco City</t>
  </si>
  <si>
    <t xml:space="preserve">ISBT-43 to Nada Sahib</t>
  </si>
  <si>
    <t xml:space="preserve">Nada Sahib to ISBT-43</t>
  </si>
  <si>
    <t xml:space="preserve">ISBT-43 to Cantonment</t>
  </si>
  <si>
    <t xml:space="preserve">Cantonment to ISBT-43</t>
  </si>
  <si>
    <t xml:space="preserve">ISBT-43 to Ramgarh</t>
  </si>
  <si>
    <t xml:space="preserve">Ramgarh to ISBT-43</t>
  </si>
  <si>
    <t xml:space="preserve">PGI to Derabassi</t>
  </si>
  <si>
    <t xml:space="preserve">Derabassi to PGI</t>
  </si>
  <si>
    <t xml:space="preserve">PGI to Ramgarh</t>
  </si>
  <si>
    <t xml:space="preserve">Ramgarh to PGI</t>
  </si>
  <si>
    <t xml:space="preserve">ISBT-17 to Kharar</t>
  </si>
  <si>
    <t xml:space="preserve">Kharar to ISBT-17</t>
  </si>
  <si>
    <t xml:space="preserve">ISBT-17 to Sector-123</t>
  </si>
  <si>
    <t xml:space="preserve">Sector-123 to ISBT-17</t>
  </si>
  <si>
    <t xml:space="preserve">PGI to Tangori</t>
  </si>
  <si>
    <t xml:space="preserve">Tangori to PGI</t>
  </si>
  <si>
    <t xml:space="preserve">Mohali Ph-11 to PGI</t>
  </si>
  <si>
    <t xml:space="preserve">PGI to Mohali Ph-11</t>
  </si>
  <si>
    <t xml:space="preserve">ISBT-17 to Khizrabad</t>
  </si>
  <si>
    <t xml:space="preserve">Khizrabad to ISBT-17</t>
  </si>
  <si>
    <t xml:space="preserve">ISBT-43 to Saketri (Kaimbwala)</t>
  </si>
  <si>
    <t xml:space="preserve">Saketri (Kaimbwala) to ISBT-43</t>
  </si>
  <si>
    <t xml:space="preserve">PGI to Chhatbir Zoo</t>
  </si>
  <si>
    <t xml:space="preserve">Chhatbir Zoo to PGI</t>
  </si>
  <si>
    <t xml:space="preserve">PGI to Zirakpur</t>
  </si>
  <si>
    <t xml:space="preserve">Zirakpur to PGI</t>
  </si>
  <si>
    <t xml:space="preserve">ISBT-43 to Zirakpur</t>
  </si>
  <si>
    <t xml:space="preserve">Zirakpur to ISBT-43</t>
  </si>
  <si>
    <t xml:space="preserve">PGI to Manoli</t>
  </si>
  <si>
    <t xml:space="preserve">First trip 07.20 is ISBT-17 to Manoli; last 17.40 is Manoli to Sector 22/17.</t>
  </si>
  <si>
    <t xml:space="preserve">PGI to Mohali R/Station Ph-11</t>
  </si>
  <si>
    <t xml:space="preserve">Mohali R/Station Ph-11 to PGI</t>
  </si>
  <si>
    <t xml:space="preserve">ISBT-43 to PB Civil Sectt (High Court)</t>
  </si>
  <si>
    <t xml:space="preserve">PB Civil Sectt (High Court) to ISBT-43</t>
  </si>
  <si>
    <t xml:space="preserve">ISBT-43 to PGI (Express)</t>
  </si>
  <si>
    <t xml:space="preserve">PGI (Express) to ISBT-43</t>
  </si>
  <si>
    <t xml:space="preserve">Express</t>
  </si>
  <si>
    <t xml:space="preserve">Landran to Derabassi</t>
  </si>
  <si>
    <t xml:space="preserve">Derabassi to Landran</t>
  </si>
  <si>
    <t xml:space="preserve">Second window 07.05-18.25 printed without a direction label.</t>
  </si>
  <si>
    <t xml:space="preserve">Mullanpur Eco City to Nada Sahib</t>
  </si>
  <si>
    <t xml:space="preserve">Nada Sahib to Mullanpur Eco City</t>
  </si>
  <si>
    <t xml:space="preserve">Dhanas to Bhabhat</t>
  </si>
  <si>
    <t xml:space="preserve">Bhabhat to Dhanas</t>
  </si>
  <si>
    <t xml:space="preserve">ISBT-43 to Mata Mansa Devi</t>
  </si>
  <si>
    <t xml:space="preserve">Mata Mansa Devi to ISBT-43</t>
  </si>
  <si>
    <t xml:space="preserve">ISBT-43 to Derabassi</t>
  </si>
  <si>
    <t xml:space="preserve">Derabassi to ISBT-43</t>
  </si>
  <si>
    <t xml:space="preserve">Fixed departures</t>
  </si>
  <si>
    <t xml:space="preserve">PDF lists exact departure times, not a uniform headway; 20 min is nominal.</t>
  </si>
  <si>
    <t xml:space="preserve">Extra PGI to ISBT-43 short trips from 14.35 to 20.40 are not in the windows.</t>
  </si>
  <si>
    <t xml:space="preserve">ISBT-17 to Kurali</t>
  </si>
  <si>
    <t xml:space="preserve">Kurali to ISBT-17</t>
  </si>
  <si>
    <t xml:space="preserve">Both windows are printed as "ISBT-17 to Kurali" in the PDF.</t>
  </si>
  <si>
    <t xml:space="preserve">Omex Tower to Mansa Devi</t>
  </si>
  <si>
    <t xml:space="preserve">Mansa Devi to Omex Tower</t>
  </si>
  <si>
    <t xml:space="preserve">ISBT-17 to New Airport</t>
  </si>
  <si>
    <t xml:space="preserve">New Airport to ISBT-17</t>
  </si>
  <si>
    <t xml:space="preserve">Near 24-hour service</t>
  </si>
  <si>
    <t xml:space="preserve">Runs from 00.40 to 23.30 (near round-the-clock).</t>
  </si>
  <si>
    <t xml:space="preserve">Routes active</t>
  </si>
  <si>
    <t xml:space="preserve">Verification of Route Master against CTU timetable PDF (as on 25.07.2026)</t>
  </si>
  <si>
    <t xml:space="preserve">Routes in PDF</t>
  </si>
  <si>
    <t xml:space="preserve">Routes matching on frequency, length and buses</t>
  </si>
  <si>
    <t xml:space="preserve">Buses in PDF (sum)</t>
  </si>
  <si>
    <t xml:space="preserve">Buses in Route Master (TOTAL row)</t>
  </si>
  <si>
    <t xml:space="preserve">Route length in PDF (km, sum)</t>
  </si>
  <si>
    <t xml:space="preserve">Route length in Route Master (km, TOTAL row)</t>
  </si>
  <si>
    <t xml:space="preserve">PDF frequency (min)</t>
  </si>
  <si>
    <t xml:space="preserve">PDF length (km)</t>
  </si>
  <si>
    <t xml:space="preserve">PDF buses</t>
  </si>
  <si>
    <t xml:space="preserve">Workbook frequency (min)</t>
  </si>
  <si>
    <t xml:space="preserve">Workbook length (km)</t>
  </si>
  <si>
    <t xml:space="preserve">Workbook buses</t>
  </si>
  <si>
    <t xml:space="preserve">Match</t>
  </si>
  <si>
    <t xml:space="preserve">Blue values were typed from the PDF table (Sr. No. 1 to 68). Workbook columns are live lookups into Route Master. Via-stop counts and Stop Coverage were not re-derived here.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</si>
</sst>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hh:mm"/>
    <numFmt numFmtId="167" formatCode="0.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06060"/>
      <name val="Arial"/>
      <family val="0"/>
      <charset val="1"/>
    </font>
    <font>
      <i val="true"/>
      <sz val="10"/>
      <color rgb="FFB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FF0000"/>
        <bgColor rgb="FFB00000"/>
      </patternFill>
    </fill>
    <fill>
      <patternFill patternType="solid">
        <fgColor theme="3"/>
        <bgColor rgb="FF1F4E78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5" activeCellId="0" sqref="G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125"/>
  </cols>
  <sheetData>
    <row r="1" customFormat="false" ht="26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4.5" hidden="false" customHeight="true" outlineLevel="0" collapsed="false">
      <c r="A2" s="2" t="s">
        <v>4</v>
      </c>
      <c r="B2" s="3" t="n">
        <v>47</v>
      </c>
      <c r="C2" s="3" t="n">
        <v>274</v>
      </c>
      <c r="D2" s="4" t="s">
        <v>5</v>
      </c>
    </row>
    <row r="3" customFormat="false" ht="34.5" hidden="false" customHeight="true" outlineLevel="0" collapsed="false">
      <c r="A3" s="2" t="s">
        <v>6</v>
      </c>
      <c r="B3" s="3" t="n">
        <v>39</v>
      </c>
      <c r="C3" s="3" t="n">
        <v>224</v>
      </c>
      <c r="D3" s="4" t="s">
        <v>7</v>
      </c>
    </row>
    <row r="4" customFormat="false" ht="23.25" hidden="false" customHeight="true" outlineLevel="0" collapsed="false">
      <c r="A4" s="2" t="s">
        <v>8</v>
      </c>
      <c r="B4" s="3" t="n">
        <v>33</v>
      </c>
      <c r="C4" s="3" t="n">
        <v>188</v>
      </c>
      <c r="D4" s="4" t="s">
        <v>9</v>
      </c>
    </row>
    <row r="5" customFormat="false" ht="23.25" hidden="false" customHeight="true" outlineLevel="0" collapsed="false">
      <c r="A5" s="2" t="s">
        <v>10</v>
      </c>
      <c r="B5" s="3" t="n">
        <v>22</v>
      </c>
      <c r="C5" s="3" t="n">
        <v>128</v>
      </c>
      <c r="D5" s="4" t="s">
        <v>11</v>
      </c>
    </row>
    <row r="6" customFormat="false" ht="15" hidden="false" customHeight="true" outlineLevel="0" collapsed="false">
      <c r="A6" s="2" t="s">
        <v>12</v>
      </c>
      <c r="B6" s="3" t="n">
        <v>18</v>
      </c>
      <c r="C6" s="3" t="n">
        <v>100</v>
      </c>
      <c r="D6" s="4" t="s">
        <v>13</v>
      </c>
    </row>
    <row r="7" customFormat="false" ht="15" hidden="false" customHeight="true" outlineLevel="0" collapsed="false">
      <c r="A7" s="2" t="s">
        <v>14</v>
      </c>
      <c r="B7" s="3" t="n">
        <v>16</v>
      </c>
      <c r="C7" s="3" t="n">
        <v>96</v>
      </c>
      <c r="D7" s="4" t="s">
        <v>15</v>
      </c>
    </row>
    <row r="8" customFormat="false" ht="15" hidden="false" customHeight="true" outlineLevel="0" collapsed="false">
      <c r="A8" s="2" t="s">
        <v>16</v>
      </c>
      <c r="B8" s="3" t="n">
        <v>12</v>
      </c>
      <c r="C8" s="3" t="n">
        <v>80</v>
      </c>
      <c r="D8" s="4" t="s">
        <v>17</v>
      </c>
    </row>
    <row r="9" customFormat="false" ht="15" hidden="false" customHeight="true" outlineLevel="0" collapsed="false">
      <c r="A9" s="2" t="s">
        <v>18</v>
      </c>
      <c r="B9" s="3" t="n">
        <v>12</v>
      </c>
      <c r="C9" s="3" t="n">
        <v>67</v>
      </c>
      <c r="D9" s="4" t="s">
        <v>19</v>
      </c>
    </row>
    <row r="10" customFormat="false" ht="15" hidden="false" customHeight="true" outlineLevel="0" collapsed="false">
      <c r="A10" s="2" t="s">
        <v>20</v>
      </c>
      <c r="B10" s="3" t="n">
        <v>10</v>
      </c>
      <c r="C10" s="3" t="n">
        <v>62</v>
      </c>
      <c r="D10" s="4" t="s">
        <v>21</v>
      </c>
    </row>
    <row r="11" customFormat="false" ht="15" hidden="false" customHeight="true" outlineLevel="0" collapsed="false">
      <c r="A11" s="2" t="s">
        <v>22</v>
      </c>
      <c r="B11" s="3" t="n">
        <v>10</v>
      </c>
      <c r="C11" s="3" t="n">
        <v>71</v>
      </c>
      <c r="D11" s="4" t="s">
        <v>23</v>
      </c>
    </row>
    <row r="12" customFormat="false" ht="15" hidden="false" customHeight="true" outlineLevel="0" collapsed="false">
      <c r="A12" s="2" t="s">
        <v>24</v>
      </c>
      <c r="B12" s="3" t="n">
        <v>9</v>
      </c>
      <c r="C12" s="3" t="n">
        <v>47</v>
      </c>
      <c r="D12" s="4" t="s">
        <v>25</v>
      </c>
    </row>
    <row r="13" customFormat="false" ht="15" hidden="false" customHeight="true" outlineLevel="0" collapsed="false">
      <c r="A13" s="2" t="s">
        <v>26</v>
      </c>
      <c r="B13" s="3" t="n">
        <v>9</v>
      </c>
      <c r="C13" s="3" t="n">
        <v>57</v>
      </c>
      <c r="D13" s="4" t="s">
        <v>27</v>
      </c>
    </row>
    <row r="14" customFormat="false" ht="15" hidden="false" customHeight="true" outlineLevel="0" collapsed="false">
      <c r="A14" s="2" t="s">
        <v>28</v>
      </c>
      <c r="B14" s="3" t="n">
        <v>9</v>
      </c>
      <c r="C14" s="3" t="n">
        <v>54</v>
      </c>
      <c r="D14" s="4" t="s">
        <v>29</v>
      </c>
    </row>
    <row r="15" customFormat="false" ht="15" hidden="false" customHeight="true" outlineLevel="0" collapsed="false">
      <c r="A15" s="2" t="s">
        <v>30</v>
      </c>
      <c r="B15" s="3" t="n">
        <v>9</v>
      </c>
      <c r="C15" s="3" t="n">
        <v>54</v>
      </c>
      <c r="D15" s="4" t="s">
        <v>31</v>
      </c>
    </row>
    <row r="16" customFormat="false" ht="15" hidden="false" customHeight="true" outlineLevel="0" collapsed="false">
      <c r="A16" s="2" t="s">
        <v>32</v>
      </c>
      <c r="B16" s="3" t="n">
        <v>9</v>
      </c>
      <c r="C16" s="3" t="n">
        <v>55</v>
      </c>
      <c r="D16" s="4" t="s">
        <v>33</v>
      </c>
    </row>
    <row r="17" customFormat="false" ht="15" hidden="false" customHeight="true" outlineLevel="0" collapsed="false">
      <c r="A17" s="2" t="s">
        <v>34</v>
      </c>
      <c r="B17" s="3" t="n">
        <v>8</v>
      </c>
      <c r="C17" s="3" t="n">
        <v>49</v>
      </c>
      <c r="D17" s="4" t="s">
        <v>35</v>
      </c>
    </row>
    <row r="18" customFormat="false" ht="15" hidden="false" customHeight="true" outlineLevel="0" collapsed="false">
      <c r="A18" s="2" t="s">
        <v>36</v>
      </c>
      <c r="B18" s="3" t="n">
        <v>8</v>
      </c>
      <c r="C18" s="3" t="n">
        <v>52</v>
      </c>
      <c r="D18" s="4" t="s">
        <v>37</v>
      </c>
    </row>
    <row r="19" customFormat="false" ht="15" hidden="false" customHeight="true" outlineLevel="0" collapsed="false">
      <c r="A19" s="2" t="s">
        <v>38</v>
      </c>
      <c r="B19" s="3" t="n">
        <v>8</v>
      </c>
      <c r="C19" s="3" t="n">
        <v>43</v>
      </c>
      <c r="D19" s="4" t="s">
        <v>39</v>
      </c>
    </row>
    <row r="20" customFormat="false" ht="15" hidden="false" customHeight="true" outlineLevel="0" collapsed="false">
      <c r="A20" s="2" t="s">
        <v>40</v>
      </c>
      <c r="B20" s="3" t="n">
        <v>8</v>
      </c>
      <c r="C20" s="3" t="n">
        <v>56</v>
      </c>
      <c r="D20" s="4" t="s">
        <v>41</v>
      </c>
    </row>
    <row r="21" customFormat="false" ht="15" hidden="false" customHeight="true" outlineLevel="0" collapsed="false">
      <c r="A21" s="2" t="s">
        <v>42</v>
      </c>
      <c r="B21" s="3" t="n">
        <v>7</v>
      </c>
      <c r="C21" s="3" t="n">
        <v>51</v>
      </c>
      <c r="D21" s="4" t="s">
        <v>43</v>
      </c>
    </row>
    <row r="22" customFormat="false" ht="15" hidden="false" customHeight="true" outlineLevel="0" collapsed="false">
      <c r="A22" s="2" t="s">
        <v>44</v>
      </c>
      <c r="B22" s="3" t="n">
        <v>7</v>
      </c>
      <c r="C22" s="3" t="n">
        <v>36</v>
      </c>
      <c r="D22" s="4" t="s">
        <v>45</v>
      </c>
    </row>
    <row r="23" customFormat="false" ht="15" hidden="false" customHeight="true" outlineLevel="0" collapsed="false">
      <c r="A23" s="2" t="s">
        <v>46</v>
      </c>
      <c r="B23" s="3" t="n">
        <v>7</v>
      </c>
      <c r="C23" s="3" t="n">
        <v>41</v>
      </c>
      <c r="D23" s="4" t="s">
        <v>47</v>
      </c>
    </row>
    <row r="24" customFormat="false" ht="15" hidden="false" customHeight="true" outlineLevel="0" collapsed="false">
      <c r="A24" s="2" t="s">
        <v>48</v>
      </c>
      <c r="B24" s="3" t="n">
        <v>7</v>
      </c>
      <c r="C24" s="3" t="n">
        <v>45</v>
      </c>
      <c r="D24" s="4" t="s">
        <v>49</v>
      </c>
    </row>
    <row r="25" customFormat="false" ht="15" hidden="false" customHeight="true" outlineLevel="0" collapsed="false">
      <c r="A25" s="2" t="s">
        <v>50</v>
      </c>
      <c r="B25" s="3" t="n">
        <v>7</v>
      </c>
      <c r="C25" s="3" t="n">
        <v>30</v>
      </c>
      <c r="D25" s="4" t="s">
        <v>51</v>
      </c>
    </row>
    <row r="26" customFormat="false" ht="15" hidden="false" customHeight="true" outlineLevel="0" collapsed="false">
      <c r="A26" s="2" t="s">
        <v>52</v>
      </c>
      <c r="B26" s="3" t="n">
        <v>7</v>
      </c>
      <c r="C26" s="3" t="n">
        <v>48</v>
      </c>
      <c r="D26" s="4" t="s">
        <v>53</v>
      </c>
    </row>
    <row r="27" customFormat="false" ht="15" hidden="false" customHeight="true" outlineLevel="0" collapsed="false">
      <c r="A27" s="2" t="s">
        <v>54</v>
      </c>
      <c r="B27" s="3" t="n">
        <v>7</v>
      </c>
      <c r="C27" s="3" t="n">
        <v>45</v>
      </c>
      <c r="D27" s="4" t="s">
        <v>55</v>
      </c>
    </row>
    <row r="28" customFormat="false" ht="15" hidden="false" customHeight="true" outlineLevel="0" collapsed="false">
      <c r="A28" s="2" t="s">
        <v>56</v>
      </c>
      <c r="B28" s="3" t="n">
        <v>6</v>
      </c>
      <c r="C28" s="3" t="n">
        <v>31</v>
      </c>
      <c r="D28" s="4" t="s">
        <v>57</v>
      </c>
    </row>
    <row r="29" customFormat="false" ht="15" hidden="false" customHeight="true" outlineLevel="0" collapsed="false">
      <c r="A29" s="2" t="s">
        <v>58</v>
      </c>
      <c r="B29" s="3" t="n">
        <v>6</v>
      </c>
      <c r="C29" s="3" t="n">
        <v>28</v>
      </c>
      <c r="D29" s="4" t="s">
        <v>59</v>
      </c>
    </row>
    <row r="30" customFormat="false" ht="15" hidden="false" customHeight="true" outlineLevel="0" collapsed="false">
      <c r="A30" s="2" t="s">
        <v>60</v>
      </c>
      <c r="B30" s="3" t="n">
        <v>6</v>
      </c>
      <c r="C30" s="3" t="n">
        <v>39</v>
      </c>
      <c r="D30" s="4" t="s">
        <v>61</v>
      </c>
    </row>
    <row r="31" customFormat="false" ht="15" hidden="false" customHeight="true" outlineLevel="0" collapsed="false">
      <c r="A31" s="2" t="s">
        <v>62</v>
      </c>
      <c r="B31" s="3" t="n">
        <v>6</v>
      </c>
      <c r="C31" s="3" t="n">
        <v>33</v>
      </c>
      <c r="D31" s="4" t="s">
        <v>63</v>
      </c>
    </row>
    <row r="32" customFormat="false" ht="15" hidden="false" customHeight="true" outlineLevel="0" collapsed="false">
      <c r="A32" s="2" t="s">
        <v>64</v>
      </c>
      <c r="B32" s="3" t="n">
        <v>6</v>
      </c>
      <c r="C32" s="3" t="n">
        <v>36</v>
      </c>
      <c r="D32" s="4" t="s">
        <v>65</v>
      </c>
    </row>
    <row r="33" customFormat="false" ht="15" hidden="false" customHeight="true" outlineLevel="0" collapsed="false">
      <c r="A33" s="2" t="s">
        <v>66</v>
      </c>
      <c r="B33" s="3" t="n">
        <v>6</v>
      </c>
      <c r="C33" s="3" t="n">
        <v>27</v>
      </c>
      <c r="D33" s="4" t="s">
        <v>67</v>
      </c>
    </row>
    <row r="34" customFormat="false" ht="15" hidden="false" customHeight="true" outlineLevel="0" collapsed="false">
      <c r="A34" s="2" t="s">
        <v>68</v>
      </c>
      <c r="B34" s="3" t="n">
        <v>6</v>
      </c>
      <c r="C34" s="3" t="n">
        <v>25</v>
      </c>
      <c r="D34" s="4" t="s">
        <v>69</v>
      </c>
    </row>
    <row r="35" customFormat="false" ht="15" hidden="false" customHeight="true" outlineLevel="0" collapsed="false">
      <c r="A35" s="2" t="s">
        <v>70</v>
      </c>
      <c r="B35" s="3" t="n">
        <v>6</v>
      </c>
      <c r="C35" s="3" t="n">
        <v>51</v>
      </c>
      <c r="D35" s="4" t="s">
        <v>71</v>
      </c>
    </row>
    <row r="36" customFormat="false" ht="15" hidden="false" customHeight="true" outlineLevel="0" collapsed="false">
      <c r="A36" s="2" t="s">
        <v>72</v>
      </c>
      <c r="B36" s="3" t="n">
        <v>6</v>
      </c>
      <c r="C36" s="3" t="n">
        <v>43</v>
      </c>
      <c r="D36" s="4" t="s">
        <v>73</v>
      </c>
    </row>
    <row r="37" customFormat="false" ht="15" hidden="false" customHeight="true" outlineLevel="0" collapsed="false">
      <c r="A37" s="2" t="s">
        <v>74</v>
      </c>
      <c r="B37" s="3" t="n">
        <v>5</v>
      </c>
      <c r="C37" s="3" t="n">
        <v>36</v>
      </c>
      <c r="D37" s="4" t="s">
        <v>75</v>
      </c>
    </row>
    <row r="38" customFormat="false" ht="15" hidden="false" customHeight="true" outlineLevel="0" collapsed="false">
      <c r="A38" s="2" t="s">
        <v>76</v>
      </c>
      <c r="B38" s="3" t="n">
        <v>5</v>
      </c>
      <c r="C38" s="3" t="n">
        <v>34</v>
      </c>
      <c r="D38" s="4" t="s">
        <v>77</v>
      </c>
    </row>
    <row r="39" customFormat="false" ht="15" hidden="false" customHeight="true" outlineLevel="0" collapsed="false">
      <c r="A39" s="2" t="s">
        <v>78</v>
      </c>
      <c r="B39" s="3" t="n">
        <v>5</v>
      </c>
      <c r="C39" s="3" t="n">
        <v>22</v>
      </c>
      <c r="D39" s="4" t="s">
        <v>79</v>
      </c>
    </row>
    <row r="40" customFormat="false" ht="15" hidden="false" customHeight="true" outlineLevel="0" collapsed="false">
      <c r="A40" s="2" t="s">
        <v>80</v>
      </c>
      <c r="B40" s="3" t="n">
        <v>5</v>
      </c>
      <c r="C40" s="3" t="n">
        <v>24</v>
      </c>
      <c r="D40" s="4" t="s">
        <v>81</v>
      </c>
    </row>
    <row r="41" customFormat="false" ht="15" hidden="false" customHeight="true" outlineLevel="0" collapsed="false">
      <c r="A41" s="2" t="s">
        <v>82</v>
      </c>
      <c r="B41" s="3" t="n">
        <v>5</v>
      </c>
      <c r="C41" s="3" t="n">
        <v>29</v>
      </c>
      <c r="D41" s="4" t="s">
        <v>83</v>
      </c>
    </row>
    <row r="42" customFormat="false" ht="15" hidden="false" customHeight="true" outlineLevel="0" collapsed="false">
      <c r="A42" s="2" t="s">
        <v>84</v>
      </c>
      <c r="B42" s="3" t="n">
        <v>5</v>
      </c>
      <c r="C42" s="3" t="n">
        <v>23</v>
      </c>
      <c r="D42" s="4" t="s">
        <v>85</v>
      </c>
    </row>
    <row r="43" customFormat="false" ht="15" hidden="false" customHeight="true" outlineLevel="0" collapsed="false">
      <c r="A43" s="2" t="s">
        <v>86</v>
      </c>
      <c r="B43" s="3" t="n">
        <v>5</v>
      </c>
      <c r="C43" s="3" t="n">
        <v>18</v>
      </c>
      <c r="D43" s="4" t="s">
        <v>87</v>
      </c>
    </row>
    <row r="44" customFormat="false" ht="15" hidden="false" customHeight="true" outlineLevel="0" collapsed="false">
      <c r="A44" s="2" t="s">
        <v>88</v>
      </c>
      <c r="B44" s="3" t="n">
        <v>5</v>
      </c>
      <c r="C44" s="3" t="n">
        <v>34</v>
      </c>
      <c r="D44" s="4" t="s">
        <v>89</v>
      </c>
    </row>
    <row r="45" customFormat="false" ht="15" hidden="false" customHeight="true" outlineLevel="0" collapsed="false">
      <c r="A45" s="2" t="s">
        <v>90</v>
      </c>
      <c r="B45" s="3" t="n">
        <v>5</v>
      </c>
      <c r="C45" s="3" t="n">
        <v>26</v>
      </c>
      <c r="D45" s="4" t="s">
        <v>91</v>
      </c>
    </row>
    <row r="46" customFormat="false" ht="15" hidden="false" customHeight="true" outlineLevel="0" collapsed="false">
      <c r="A46" s="2" t="s">
        <v>92</v>
      </c>
      <c r="B46" s="3" t="n">
        <v>5</v>
      </c>
      <c r="C46" s="3" t="n">
        <v>33</v>
      </c>
      <c r="D46" s="4" t="s">
        <v>93</v>
      </c>
    </row>
    <row r="47" customFormat="false" ht="15" hidden="false" customHeight="true" outlineLevel="0" collapsed="false">
      <c r="A47" s="2" t="s">
        <v>94</v>
      </c>
      <c r="B47" s="3" t="n">
        <v>5</v>
      </c>
      <c r="C47" s="3" t="n">
        <v>38</v>
      </c>
      <c r="D47" s="4" t="s">
        <v>95</v>
      </c>
    </row>
    <row r="48" customFormat="false" ht="15" hidden="false" customHeight="true" outlineLevel="0" collapsed="false">
      <c r="A48" s="2" t="s">
        <v>96</v>
      </c>
      <c r="B48" s="3" t="n">
        <v>5</v>
      </c>
      <c r="C48" s="3" t="n">
        <v>33</v>
      </c>
      <c r="D48" s="4" t="s">
        <v>97</v>
      </c>
    </row>
    <row r="49" customFormat="false" ht="15" hidden="false" customHeight="true" outlineLevel="0" collapsed="false">
      <c r="A49" s="2" t="s">
        <v>98</v>
      </c>
      <c r="B49" s="3" t="n">
        <v>5</v>
      </c>
      <c r="C49" s="3" t="n">
        <v>43</v>
      </c>
      <c r="D49" s="4" t="s">
        <v>99</v>
      </c>
    </row>
    <row r="50" customFormat="false" ht="15" hidden="false" customHeight="true" outlineLevel="0" collapsed="false">
      <c r="A50" s="2" t="s">
        <v>100</v>
      </c>
      <c r="B50" s="3" t="n">
        <v>4</v>
      </c>
      <c r="C50" s="3" t="n">
        <v>26</v>
      </c>
      <c r="D50" s="4" t="s">
        <v>101</v>
      </c>
    </row>
    <row r="51" customFormat="false" ht="15" hidden="false" customHeight="true" outlineLevel="0" collapsed="false">
      <c r="A51" s="2" t="s">
        <v>102</v>
      </c>
      <c r="B51" s="3" t="n">
        <v>4</v>
      </c>
      <c r="C51" s="3" t="n">
        <v>23</v>
      </c>
      <c r="D51" s="4" t="s">
        <v>103</v>
      </c>
    </row>
    <row r="52" customFormat="false" ht="15" hidden="false" customHeight="true" outlineLevel="0" collapsed="false">
      <c r="A52" s="2" t="s">
        <v>104</v>
      </c>
      <c r="B52" s="3" t="n">
        <v>4</v>
      </c>
      <c r="C52" s="3" t="n">
        <v>30</v>
      </c>
      <c r="D52" s="4" t="s">
        <v>105</v>
      </c>
    </row>
    <row r="53" customFormat="false" ht="15" hidden="false" customHeight="true" outlineLevel="0" collapsed="false">
      <c r="A53" s="2" t="s">
        <v>106</v>
      </c>
      <c r="B53" s="3" t="n">
        <v>4</v>
      </c>
      <c r="C53" s="3" t="n">
        <v>25</v>
      </c>
      <c r="D53" s="4" t="s">
        <v>107</v>
      </c>
    </row>
    <row r="54" customFormat="false" ht="15" hidden="false" customHeight="true" outlineLevel="0" collapsed="false">
      <c r="A54" s="2" t="s">
        <v>108</v>
      </c>
      <c r="B54" s="3" t="n">
        <v>4</v>
      </c>
      <c r="C54" s="3" t="n">
        <v>28</v>
      </c>
      <c r="D54" s="4" t="s">
        <v>109</v>
      </c>
    </row>
    <row r="55" customFormat="false" ht="15" hidden="false" customHeight="true" outlineLevel="0" collapsed="false">
      <c r="A55" s="2" t="s">
        <v>110</v>
      </c>
      <c r="B55" s="3" t="n">
        <v>4</v>
      </c>
      <c r="C55" s="3" t="n">
        <v>22</v>
      </c>
      <c r="D55" s="4" t="s">
        <v>111</v>
      </c>
    </row>
    <row r="56" customFormat="false" ht="15" hidden="false" customHeight="true" outlineLevel="0" collapsed="false">
      <c r="A56" s="2" t="s">
        <v>112</v>
      </c>
      <c r="B56" s="3" t="n">
        <v>4</v>
      </c>
      <c r="C56" s="3" t="n">
        <v>26</v>
      </c>
      <c r="D56" s="4" t="s">
        <v>113</v>
      </c>
    </row>
    <row r="57" customFormat="false" ht="15" hidden="false" customHeight="true" outlineLevel="0" collapsed="false">
      <c r="A57" s="2" t="s">
        <v>114</v>
      </c>
      <c r="B57" s="3" t="n">
        <v>4</v>
      </c>
      <c r="C57" s="3" t="n">
        <v>25</v>
      </c>
      <c r="D57" s="4" t="s">
        <v>115</v>
      </c>
    </row>
    <row r="58" customFormat="false" ht="15" hidden="false" customHeight="true" outlineLevel="0" collapsed="false">
      <c r="A58" s="2" t="s">
        <v>116</v>
      </c>
      <c r="B58" s="3" t="n">
        <v>4</v>
      </c>
      <c r="C58" s="3" t="n">
        <v>17</v>
      </c>
      <c r="D58" s="4" t="s">
        <v>117</v>
      </c>
    </row>
    <row r="59" customFormat="false" ht="15" hidden="false" customHeight="true" outlineLevel="0" collapsed="false">
      <c r="A59" s="2" t="s">
        <v>118</v>
      </c>
      <c r="B59" s="3" t="n">
        <v>4</v>
      </c>
      <c r="C59" s="3" t="n">
        <v>21</v>
      </c>
      <c r="D59" s="4" t="s">
        <v>119</v>
      </c>
    </row>
    <row r="60" customFormat="false" ht="15" hidden="false" customHeight="true" outlineLevel="0" collapsed="false">
      <c r="A60" s="2" t="s">
        <v>120</v>
      </c>
      <c r="B60" s="3" t="n">
        <v>4</v>
      </c>
      <c r="C60" s="3" t="n">
        <v>22</v>
      </c>
      <c r="D60" s="4" t="s">
        <v>121</v>
      </c>
    </row>
    <row r="61" customFormat="false" ht="15" hidden="false" customHeight="true" outlineLevel="0" collapsed="false">
      <c r="A61" s="2" t="s">
        <v>122</v>
      </c>
      <c r="B61" s="3" t="n">
        <v>4</v>
      </c>
      <c r="C61" s="3" t="n">
        <v>29</v>
      </c>
      <c r="D61" s="4" t="s">
        <v>123</v>
      </c>
    </row>
    <row r="62" customFormat="false" ht="15" hidden="false" customHeight="true" outlineLevel="0" collapsed="false">
      <c r="A62" s="2" t="s">
        <v>124</v>
      </c>
      <c r="B62" s="3" t="n">
        <v>4</v>
      </c>
      <c r="C62" s="3" t="n">
        <v>31</v>
      </c>
      <c r="D62" s="4" t="s">
        <v>125</v>
      </c>
    </row>
    <row r="63" customFormat="false" ht="15" hidden="false" customHeight="true" outlineLevel="0" collapsed="false">
      <c r="A63" s="2" t="s">
        <v>126</v>
      </c>
      <c r="B63" s="3" t="n">
        <v>4</v>
      </c>
      <c r="C63" s="3" t="n">
        <v>34</v>
      </c>
      <c r="D63" s="4" t="s">
        <v>127</v>
      </c>
    </row>
    <row r="64" customFormat="false" ht="15" hidden="false" customHeight="true" outlineLevel="0" collapsed="false">
      <c r="A64" s="2" t="s">
        <v>128</v>
      </c>
      <c r="B64" s="3" t="n">
        <v>4</v>
      </c>
      <c r="C64" s="3" t="n">
        <v>30</v>
      </c>
      <c r="D64" s="4" t="s">
        <v>129</v>
      </c>
    </row>
    <row r="65" customFormat="false" ht="15" hidden="false" customHeight="true" outlineLevel="0" collapsed="false">
      <c r="A65" s="2" t="s">
        <v>130</v>
      </c>
      <c r="B65" s="3" t="n">
        <v>4</v>
      </c>
      <c r="C65" s="3" t="n">
        <v>36</v>
      </c>
      <c r="D65" s="4" t="s">
        <v>131</v>
      </c>
    </row>
    <row r="66" customFormat="false" ht="15" hidden="false" customHeight="true" outlineLevel="0" collapsed="false">
      <c r="A66" s="2" t="s">
        <v>132</v>
      </c>
      <c r="B66" s="3" t="n">
        <v>4</v>
      </c>
      <c r="C66" s="3" t="n">
        <v>20</v>
      </c>
      <c r="D66" s="4" t="s">
        <v>133</v>
      </c>
    </row>
    <row r="67" customFormat="false" ht="15" hidden="false" customHeight="true" outlineLevel="0" collapsed="false">
      <c r="A67" s="2" t="s">
        <v>134</v>
      </c>
      <c r="B67" s="3" t="n">
        <v>3</v>
      </c>
      <c r="C67" s="3" t="n">
        <v>18</v>
      </c>
      <c r="D67" s="4" t="s">
        <v>135</v>
      </c>
    </row>
    <row r="68" customFormat="false" ht="15" hidden="false" customHeight="true" outlineLevel="0" collapsed="false">
      <c r="A68" s="2" t="s">
        <v>136</v>
      </c>
      <c r="B68" s="3" t="n">
        <v>3</v>
      </c>
      <c r="C68" s="3" t="n">
        <v>20</v>
      </c>
      <c r="D68" s="4" t="s">
        <v>137</v>
      </c>
    </row>
    <row r="69" customFormat="false" ht="15" hidden="false" customHeight="true" outlineLevel="0" collapsed="false">
      <c r="A69" s="2" t="s">
        <v>138</v>
      </c>
      <c r="B69" s="3" t="n">
        <v>3</v>
      </c>
      <c r="C69" s="3" t="n">
        <v>22</v>
      </c>
      <c r="D69" s="4" t="s">
        <v>139</v>
      </c>
    </row>
    <row r="70" customFormat="false" ht="15" hidden="false" customHeight="true" outlineLevel="0" collapsed="false">
      <c r="A70" s="2" t="s">
        <v>140</v>
      </c>
      <c r="B70" s="3" t="n">
        <v>3</v>
      </c>
      <c r="C70" s="3" t="n">
        <v>14</v>
      </c>
      <c r="D70" s="4" t="s">
        <v>141</v>
      </c>
    </row>
    <row r="71" customFormat="false" ht="15" hidden="false" customHeight="true" outlineLevel="0" collapsed="false">
      <c r="A71" s="2" t="s">
        <v>142</v>
      </c>
      <c r="B71" s="3" t="n">
        <v>3</v>
      </c>
      <c r="C71" s="3" t="n">
        <v>20</v>
      </c>
      <c r="D71" s="4" t="s">
        <v>143</v>
      </c>
    </row>
    <row r="72" customFormat="false" ht="15" hidden="false" customHeight="true" outlineLevel="0" collapsed="false">
      <c r="A72" s="2" t="s">
        <v>144</v>
      </c>
      <c r="B72" s="3" t="n">
        <v>3</v>
      </c>
      <c r="C72" s="3" t="n">
        <v>21</v>
      </c>
      <c r="D72" s="4" t="s">
        <v>145</v>
      </c>
    </row>
    <row r="73" customFormat="false" ht="15" hidden="false" customHeight="true" outlineLevel="0" collapsed="false">
      <c r="A73" s="2" t="s">
        <v>146</v>
      </c>
      <c r="B73" s="3" t="n">
        <v>3</v>
      </c>
      <c r="C73" s="3" t="n">
        <v>24</v>
      </c>
      <c r="D73" s="4" t="s">
        <v>147</v>
      </c>
    </row>
    <row r="74" customFormat="false" ht="15" hidden="false" customHeight="true" outlineLevel="0" collapsed="false">
      <c r="A74" s="2" t="s">
        <v>148</v>
      </c>
      <c r="B74" s="3" t="n">
        <v>3</v>
      </c>
      <c r="C74" s="3" t="n">
        <v>16</v>
      </c>
      <c r="D74" s="4" t="s">
        <v>149</v>
      </c>
    </row>
    <row r="75" customFormat="false" ht="15" hidden="false" customHeight="true" outlineLevel="0" collapsed="false">
      <c r="A75" s="2" t="s">
        <v>150</v>
      </c>
      <c r="B75" s="3" t="n">
        <v>3</v>
      </c>
      <c r="C75" s="3" t="n">
        <v>16</v>
      </c>
      <c r="D75" s="4" t="s">
        <v>151</v>
      </c>
    </row>
    <row r="76" customFormat="false" ht="15" hidden="false" customHeight="true" outlineLevel="0" collapsed="false">
      <c r="A76" s="2" t="s">
        <v>152</v>
      </c>
      <c r="B76" s="3" t="n">
        <v>3</v>
      </c>
      <c r="C76" s="3" t="n">
        <v>20</v>
      </c>
      <c r="D76" s="4" t="s">
        <v>153</v>
      </c>
    </row>
    <row r="77" customFormat="false" ht="15" hidden="false" customHeight="true" outlineLevel="0" collapsed="false">
      <c r="A77" s="2" t="s">
        <v>154</v>
      </c>
      <c r="B77" s="3" t="n">
        <v>3</v>
      </c>
      <c r="C77" s="3" t="n">
        <v>9</v>
      </c>
      <c r="D77" s="4" t="s">
        <v>155</v>
      </c>
    </row>
    <row r="78" customFormat="false" ht="15" hidden="false" customHeight="true" outlineLevel="0" collapsed="false">
      <c r="A78" s="2" t="s">
        <v>156</v>
      </c>
      <c r="B78" s="3" t="n">
        <v>3</v>
      </c>
      <c r="C78" s="3" t="n">
        <v>11</v>
      </c>
      <c r="D78" s="4" t="s">
        <v>157</v>
      </c>
    </row>
    <row r="79" customFormat="false" ht="15" hidden="false" customHeight="true" outlineLevel="0" collapsed="false">
      <c r="A79" s="2" t="s">
        <v>158</v>
      </c>
      <c r="B79" s="3" t="n">
        <v>3</v>
      </c>
      <c r="C79" s="3" t="n">
        <v>7</v>
      </c>
      <c r="D79" s="4" t="s">
        <v>159</v>
      </c>
    </row>
    <row r="80" customFormat="false" ht="15" hidden="false" customHeight="true" outlineLevel="0" collapsed="false">
      <c r="A80" s="2" t="s">
        <v>160</v>
      </c>
      <c r="B80" s="3" t="n">
        <v>3</v>
      </c>
      <c r="C80" s="3" t="n">
        <v>13</v>
      </c>
      <c r="D80" s="4" t="s">
        <v>161</v>
      </c>
    </row>
    <row r="81" customFormat="false" ht="15" hidden="false" customHeight="true" outlineLevel="0" collapsed="false">
      <c r="A81" s="2" t="s">
        <v>162</v>
      </c>
      <c r="B81" s="3" t="n">
        <v>3</v>
      </c>
      <c r="C81" s="3" t="n">
        <v>15</v>
      </c>
      <c r="D81" s="4" t="s">
        <v>163</v>
      </c>
    </row>
    <row r="82" customFormat="false" ht="15" hidden="false" customHeight="true" outlineLevel="0" collapsed="false">
      <c r="A82" s="2" t="s">
        <v>164</v>
      </c>
      <c r="B82" s="3" t="n">
        <v>3</v>
      </c>
      <c r="C82" s="3" t="n">
        <v>16</v>
      </c>
      <c r="D82" s="4" t="s">
        <v>165</v>
      </c>
    </row>
    <row r="83" customFormat="false" ht="15" hidden="false" customHeight="true" outlineLevel="0" collapsed="false">
      <c r="A83" s="2" t="s">
        <v>166</v>
      </c>
      <c r="B83" s="3" t="n">
        <v>3</v>
      </c>
      <c r="C83" s="3" t="n">
        <v>19</v>
      </c>
      <c r="D83" s="4" t="s">
        <v>167</v>
      </c>
    </row>
    <row r="84" customFormat="false" ht="15" hidden="false" customHeight="true" outlineLevel="0" collapsed="false">
      <c r="A84" s="2" t="s">
        <v>168</v>
      </c>
      <c r="B84" s="3" t="n">
        <v>3</v>
      </c>
      <c r="C84" s="3" t="n">
        <v>19</v>
      </c>
      <c r="D84" s="4" t="s">
        <v>167</v>
      </c>
    </row>
    <row r="85" customFormat="false" ht="15" hidden="false" customHeight="true" outlineLevel="0" collapsed="false">
      <c r="A85" s="2" t="s">
        <v>169</v>
      </c>
      <c r="B85" s="3" t="n">
        <v>3</v>
      </c>
      <c r="C85" s="3" t="n">
        <v>25</v>
      </c>
      <c r="D85" s="4" t="s">
        <v>170</v>
      </c>
    </row>
    <row r="86" customFormat="false" ht="15" hidden="false" customHeight="true" outlineLevel="0" collapsed="false">
      <c r="A86" s="2" t="s">
        <v>171</v>
      </c>
      <c r="B86" s="3" t="n">
        <v>3</v>
      </c>
      <c r="C86" s="3" t="n">
        <v>20</v>
      </c>
      <c r="D86" s="4" t="s">
        <v>172</v>
      </c>
    </row>
    <row r="87" customFormat="false" ht="15" hidden="false" customHeight="true" outlineLevel="0" collapsed="false">
      <c r="A87" s="2" t="s">
        <v>173</v>
      </c>
      <c r="B87" s="3" t="n">
        <v>3</v>
      </c>
      <c r="C87" s="3" t="n">
        <v>28</v>
      </c>
      <c r="D87" s="4" t="s">
        <v>174</v>
      </c>
    </row>
    <row r="88" customFormat="false" ht="15" hidden="false" customHeight="true" outlineLevel="0" collapsed="false">
      <c r="A88" s="2" t="s">
        <v>175</v>
      </c>
      <c r="B88" s="3" t="n">
        <v>3</v>
      </c>
      <c r="C88" s="3" t="n">
        <v>28</v>
      </c>
      <c r="D88" s="4" t="s">
        <v>174</v>
      </c>
    </row>
    <row r="89" customFormat="false" ht="15" hidden="false" customHeight="true" outlineLevel="0" collapsed="false">
      <c r="A89" s="2" t="s">
        <v>176</v>
      </c>
      <c r="B89" s="3" t="n">
        <v>3</v>
      </c>
      <c r="C89" s="3" t="n">
        <v>17</v>
      </c>
      <c r="D89" s="4" t="s">
        <v>177</v>
      </c>
    </row>
    <row r="90" customFormat="false" ht="15" hidden="false" customHeight="true" outlineLevel="0" collapsed="false">
      <c r="A90" s="2" t="s">
        <v>178</v>
      </c>
      <c r="B90" s="3" t="n">
        <v>3</v>
      </c>
      <c r="C90" s="3" t="n">
        <v>32</v>
      </c>
      <c r="D90" s="4" t="s">
        <v>179</v>
      </c>
    </row>
    <row r="91" customFormat="false" ht="15" hidden="false" customHeight="true" outlineLevel="0" collapsed="false">
      <c r="A91" s="2" t="s">
        <v>180</v>
      </c>
      <c r="B91" s="3" t="n">
        <v>3</v>
      </c>
      <c r="C91" s="3" t="n">
        <v>18</v>
      </c>
      <c r="D91" s="4" t="s">
        <v>181</v>
      </c>
    </row>
    <row r="92" customFormat="false" ht="15" hidden="false" customHeight="true" outlineLevel="0" collapsed="false">
      <c r="A92" s="2" t="s">
        <v>182</v>
      </c>
      <c r="B92" s="3" t="n">
        <v>3</v>
      </c>
      <c r="C92" s="3" t="n">
        <v>12</v>
      </c>
      <c r="D92" s="4" t="s">
        <v>183</v>
      </c>
    </row>
    <row r="93" customFormat="false" ht="15" hidden="false" customHeight="true" outlineLevel="0" collapsed="false">
      <c r="A93" s="2" t="s">
        <v>184</v>
      </c>
      <c r="B93" s="3" t="n">
        <v>3</v>
      </c>
      <c r="C93" s="3" t="n">
        <v>16</v>
      </c>
      <c r="D93" s="4" t="s">
        <v>185</v>
      </c>
    </row>
    <row r="94" customFormat="false" ht="15" hidden="false" customHeight="true" outlineLevel="0" collapsed="false">
      <c r="A94" s="2" t="s">
        <v>186</v>
      </c>
      <c r="B94" s="3" t="n">
        <v>2</v>
      </c>
      <c r="C94" s="3" t="n">
        <v>14</v>
      </c>
      <c r="D94" s="4" t="s">
        <v>187</v>
      </c>
    </row>
    <row r="95" customFormat="false" ht="15" hidden="false" customHeight="true" outlineLevel="0" collapsed="false">
      <c r="A95" s="2" t="s">
        <v>188</v>
      </c>
      <c r="B95" s="3" t="n">
        <v>2</v>
      </c>
      <c r="C95" s="3" t="n">
        <v>14</v>
      </c>
      <c r="D95" s="4" t="s">
        <v>189</v>
      </c>
    </row>
    <row r="96" customFormat="false" ht="15" hidden="false" customHeight="true" outlineLevel="0" collapsed="false">
      <c r="A96" s="2" t="s">
        <v>190</v>
      </c>
      <c r="B96" s="3" t="n">
        <v>2</v>
      </c>
      <c r="C96" s="3" t="n">
        <v>14</v>
      </c>
      <c r="D96" s="4" t="s">
        <v>189</v>
      </c>
    </row>
    <row r="97" customFormat="false" ht="15" hidden="false" customHeight="true" outlineLevel="0" collapsed="false">
      <c r="A97" s="2" t="s">
        <v>191</v>
      </c>
      <c r="B97" s="3" t="n">
        <v>2</v>
      </c>
      <c r="C97" s="3" t="n">
        <v>10</v>
      </c>
      <c r="D97" s="4" t="s">
        <v>192</v>
      </c>
    </row>
    <row r="98" customFormat="false" ht="15" hidden="false" customHeight="true" outlineLevel="0" collapsed="false">
      <c r="A98" s="2" t="s">
        <v>193</v>
      </c>
      <c r="B98" s="3" t="n">
        <v>2</v>
      </c>
      <c r="C98" s="3" t="n">
        <v>16</v>
      </c>
      <c r="D98" s="4" t="s">
        <v>194</v>
      </c>
    </row>
    <row r="99" customFormat="false" ht="15" hidden="false" customHeight="true" outlineLevel="0" collapsed="false">
      <c r="A99" s="2" t="s">
        <v>195</v>
      </c>
      <c r="B99" s="3" t="n">
        <v>2</v>
      </c>
      <c r="C99" s="3" t="n">
        <v>12</v>
      </c>
      <c r="D99" s="4" t="s">
        <v>196</v>
      </c>
    </row>
    <row r="100" customFormat="false" ht="15" hidden="false" customHeight="true" outlineLevel="0" collapsed="false">
      <c r="A100" s="2" t="s">
        <v>197</v>
      </c>
      <c r="B100" s="3" t="n">
        <v>2</v>
      </c>
      <c r="C100" s="3" t="n">
        <v>10</v>
      </c>
      <c r="D100" s="4" t="s">
        <v>198</v>
      </c>
    </row>
    <row r="101" customFormat="false" ht="15" hidden="false" customHeight="true" outlineLevel="0" collapsed="false">
      <c r="A101" s="2" t="s">
        <v>199</v>
      </c>
      <c r="B101" s="3" t="n">
        <v>2</v>
      </c>
      <c r="C101" s="3" t="n">
        <v>14</v>
      </c>
      <c r="D101" s="4" t="s">
        <v>200</v>
      </c>
    </row>
    <row r="102" customFormat="false" ht="15" hidden="false" customHeight="true" outlineLevel="0" collapsed="false">
      <c r="A102" s="2" t="s">
        <v>201</v>
      </c>
      <c r="B102" s="3" t="n">
        <v>2</v>
      </c>
      <c r="C102" s="3" t="n">
        <v>14</v>
      </c>
      <c r="D102" s="4" t="s">
        <v>200</v>
      </c>
    </row>
    <row r="103" customFormat="false" ht="15" hidden="false" customHeight="true" outlineLevel="0" collapsed="false">
      <c r="A103" s="2" t="s">
        <v>202</v>
      </c>
      <c r="B103" s="3" t="n">
        <v>2</v>
      </c>
      <c r="C103" s="3" t="n">
        <v>10</v>
      </c>
      <c r="D103" s="4" t="s">
        <v>203</v>
      </c>
    </row>
    <row r="104" customFormat="false" ht="15" hidden="false" customHeight="true" outlineLevel="0" collapsed="false">
      <c r="A104" s="2" t="s">
        <v>204</v>
      </c>
      <c r="B104" s="3" t="n">
        <v>2</v>
      </c>
      <c r="C104" s="3" t="n">
        <v>14</v>
      </c>
      <c r="D104" s="4" t="s">
        <v>200</v>
      </c>
    </row>
    <row r="105" customFormat="false" ht="15" hidden="false" customHeight="true" outlineLevel="0" collapsed="false">
      <c r="A105" s="2" t="s">
        <v>205</v>
      </c>
      <c r="B105" s="3" t="n">
        <v>2</v>
      </c>
      <c r="C105" s="3" t="n">
        <v>14</v>
      </c>
      <c r="D105" s="4" t="s">
        <v>200</v>
      </c>
    </row>
    <row r="106" customFormat="false" ht="15" hidden="false" customHeight="true" outlineLevel="0" collapsed="false">
      <c r="A106" s="2" t="s">
        <v>206</v>
      </c>
      <c r="B106" s="3" t="n">
        <v>2</v>
      </c>
      <c r="C106" s="3" t="n">
        <v>14</v>
      </c>
      <c r="D106" s="4" t="s">
        <v>207</v>
      </c>
    </row>
    <row r="107" customFormat="false" ht="15" hidden="false" customHeight="true" outlineLevel="0" collapsed="false">
      <c r="A107" s="2" t="s">
        <v>208</v>
      </c>
      <c r="B107" s="3" t="n">
        <v>2</v>
      </c>
      <c r="C107" s="3" t="n">
        <v>11</v>
      </c>
      <c r="D107" s="4" t="s">
        <v>209</v>
      </c>
    </row>
    <row r="108" customFormat="false" ht="15" hidden="false" customHeight="true" outlineLevel="0" collapsed="false">
      <c r="A108" s="2" t="s">
        <v>210</v>
      </c>
      <c r="B108" s="3" t="n">
        <v>2</v>
      </c>
      <c r="C108" s="3" t="n">
        <v>12</v>
      </c>
      <c r="D108" s="4" t="s">
        <v>211</v>
      </c>
    </row>
    <row r="109" customFormat="false" ht="15" hidden="false" customHeight="true" outlineLevel="0" collapsed="false">
      <c r="A109" s="2" t="s">
        <v>212</v>
      </c>
      <c r="B109" s="3" t="n">
        <v>2</v>
      </c>
      <c r="C109" s="3" t="n">
        <v>8</v>
      </c>
      <c r="D109" s="4" t="s">
        <v>213</v>
      </c>
    </row>
    <row r="110" customFormat="false" ht="15" hidden="false" customHeight="true" outlineLevel="0" collapsed="false">
      <c r="A110" s="2" t="s">
        <v>214</v>
      </c>
      <c r="B110" s="3" t="n">
        <v>2</v>
      </c>
      <c r="C110" s="3" t="n">
        <v>8</v>
      </c>
      <c r="D110" s="4" t="s">
        <v>213</v>
      </c>
    </row>
    <row r="111" customFormat="false" ht="15" hidden="false" customHeight="true" outlineLevel="0" collapsed="false">
      <c r="A111" s="2" t="s">
        <v>215</v>
      </c>
      <c r="B111" s="3" t="n">
        <v>2</v>
      </c>
      <c r="C111" s="3" t="n">
        <v>8</v>
      </c>
      <c r="D111" s="4" t="s">
        <v>213</v>
      </c>
    </row>
    <row r="112" customFormat="false" ht="15" hidden="false" customHeight="true" outlineLevel="0" collapsed="false">
      <c r="A112" s="2" t="s">
        <v>216</v>
      </c>
      <c r="B112" s="3" t="n">
        <v>2</v>
      </c>
      <c r="C112" s="3" t="n">
        <v>8</v>
      </c>
      <c r="D112" s="4" t="s">
        <v>213</v>
      </c>
    </row>
    <row r="113" customFormat="false" ht="15" hidden="false" customHeight="true" outlineLevel="0" collapsed="false">
      <c r="A113" s="2" t="s">
        <v>217</v>
      </c>
      <c r="B113" s="3" t="n">
        <v>2</v>
      </c>
      <c r="C113" s="3" t="n">
        <v>8</v>
      </c>
      <c r="D113" s="4" t="s">
        <v>213</v>
      </c>
    </row>
    <row r="114" customFormat="false" ht="15" hidden="false" customHeight="true" outlineLevel="0" collapsed="false">
      <c r="A114" s="2" t="s">
        <v>218</v>
      </c>
      <c r="B114" s="3" t="n">
        <v>2</v>
      </c>
      <c r="C114" s="3" t="n">
        <v>8</v>
      </c>
      <c r="D114" s="4" t="s">
        <v>213</v>
      </c>
    </row>
    <row r="115" customFormat="false" ht="15" hidden="false" customHeight="true" outlineLevel="0" collapsed="false">
      <c r="A115" s="2" t="s">
        <v>219</v>
      </c>
      <c r="B115" s="3" t="n">
        <v>2</v>
      </c>
      <c r="C115" s="3" t="n">
        <v>8</v>
      </c>
      <c r="D115" s="4" t="s">
        <v>213</v>
      </c>
    </row>
    <row r="116" customFormat="false" ht="15" hidden="false" customHeight="true" outlineLevel="0" collapsed="false">
      <c r="A116" s="2" t="s">
        <v>220</v>
      </c>
      <c r="B116" s="3" t="n">
        <v>2</v>
      </c>
      <c r="C116" s="3" t="n">
        <v>8</v>
      </c>
      <c r="D116" s="4" t="s">
        <v>213</v>
      </c>
    </row>
    <row r="117" customFormat="false" ht="15" hidden="false" customHeight="true" outlineLevel="0" collapsed="false">
      <c r="A117" s="2" t="s">
        <v>221</v>
      </c>
      <c r="B117" s="3" t="n">
        <v>2</v>
      </c>
      <c r="C117" s="3" t="n">
        <v>8</v>
      </c>
      <c r="D117" s="4" t="s">
        <v>213</v>
      </c>
    </row>
    <row r="118" customFormat="false" ht="15" hidden="false" customHeight="true" outlineLevel="0" collapsed="false">
      <c r="A118" s="2" t="s">
        <v>222</v>
      </c>
      <c r="B118" s="3" t="n">
        <v>2</v>
      </c>
      <c r="C118" s="3" t="n">
        <v>16</v>
      </c>
      <c r="D118" s="4" t="s">
        <v>223</v>
      </c>
    </row>
    <row r="119" customFormat="false" ht="15" hidden="false" customHeight="true" outlineLevel="0" collapsed="false">
      <c r="A119" s="2" t="s">
        <v>224</v>
      </c>
      <c r="B119" s="3" t="n">
        <v>2</v>
      </c>
      <c r="C119" s="3" t="n">
        <v>14</v>
      </c>
      <c r="D119" s="4" t="s">
        <v>225</v>
      </c>
    </row>
    <row r="120" customFormat="false" ht="15" hidden="false" customHeight="true" outlineLevel="0" collapsed="false">
      <c r="A120" s="2" t="s">
        <v>226</v>
      </c>
      <c r="B120" s="3" t="n">
        <v>2</v>
      </c>
      <c r="C120" s="3" t="n">
        <v>12</v>
      </c>
      <c r="D120" s="4" t="s">
        <v>227</v>
      </c>
    </row>
    <row r="121" customFormat="false" ht="15" hidden="false" customHeight="true" outlineLevel="0" collapsed="false">
      <c r="A121" s="2" t="s">
        <v>228</v>
      </c>
      <c r="B121" s="3" t="n">
        <v>2</v>
      </c>
      <c r="C121" s="3" t="n">
        <v>10</v>
      </c>
      <c r="D121" s="4" t="s">
        <v>229</v>
      </c>
    </row>
    <row r="122" customFormat="false" ht="15" hidden="false" customHeight="true" outlineLevel="0" collapsed="false">
      <c r="A122" s="2" t="s">
        <v>230</v>
      </c>
      <c r="B122" s="3" t="n">
        <v>2</v>
      </c>
      <c r="C122" s="3" t="n">
        <v>12</v>
      </c>
      <c r="D122" s="4" t="s">
        <v>231</v>
      </c>
    </row>
    <row r="123" customFormat="false" ht="15" hidden="false" customHeight="true" outlineLevel="0" collapsed="false">
      <c r="A123" s="2" t="s">
        <v>232</v>
      </c>
      <c r="B123" s="3" t="n">
        <v>2</v>
      </c>
      <c r="C123" s="3" t="n">
        <v>12</v>
      </c>
      <c r="D123" s="4" t="s">
        <v>231</v>
      </c>
    </row>
    <row r="124" customFormat="false" ht="15" hidden="false" customHeight="true" outlineLevel="0" collapsed="false">
      <c r="A124" s="2" t="s">
        <v>233</v>
      </c>
      <c r="B124" s="3" t="n">
        <v>2</v>
      </c>
      <c r="C124" s="3" t="n">
        <v>18</v>
      </c>
      <c r="D124" s="4" t="s">
        <v>234</v>
      </c>
    </row>
    <row r="125" customFormat="false" ht="15" hidden="false" customHeight="true" outlineLevel="0" collapsed="false">
      <c r="A125" s="2" t="s">
        <v>235</v>
      </c>
      <c r="B125" s="3" t="n">
        <v>2</v>
      </c>
      <c r="C125" s="3" t="n">
        <v>18</v>
      </c>
      <c r="D125" s="4" t="s">
        <v>234</v>
      </c>
    </row>
    <row r="126" customFormat="false" ht="15" hidden="false" customHeight="true" outlineLevel="0" collapsed="false">
      <c r="A126" s="2" t="s">
        <v>236</v>
      </c>
      <c r="B126" s="3" t="n">
        <v>2</v>
      </c>
      <c r="C126" s="3" t="n">
        <v>12</v>
      </c>
      <c r="D126" s="4" t="s">
        <v>237</v>
      </c>
    </row>
    <row r="127" customFormat="false" ht="15" hidden="false" customHeight="true" outlineLevel="0" collapsed="false">
      <c r="A127" s="2" t="s">
        <v>238</v>
      </c>
      <c r="B127" s="3" t="n">
        <v>2</v>
      </c>
      <c r="C127" s="3" t="n">
        <v>10</v>
      </c>
      <c r="D127" s="4" t="s">
        <v>239</v>
      </c>
    </row>
    <row r="128" customFormat="false" ht="15" hidden="false" customHeight="true" outlineLevel="0" collapsed="false">
      <c r="A128" s="2" t="s">
        <v>240</v>
      </c>
      <c r="B128" s="3" t="n">
        <v>2</v>
      </c>
      <c r="C128" s="3" t="n">
        <v>8</v>
      </c>
      <c r="D128" s="4" t="s">
        <v>241</v>
      </c>
    </row>
    <row r="129" customFormat="false" ht="15" hidden="false" customHeight="true" outlineLevel="0" collapsed="false">
      <c r="A129" s="2" t="s">
        <v>242</v>
      </c>
      <c r="B129" s="3" t="n">
        <v>2</v>
      </c>
      <c r="C129" s="3" t="n">
        <v>8</v>
      </c>
      <c r="D129" s="4" t="s">
        <v>243</v>
      </c>
    </row>
    <row r="130" customFormat="false" ht="15" hidden="false" customHeight="true" outlineLevel="0" collapsed="false">
      <c r="A130" s="2" t="s">
        <v>244</v>
      </c>
      <c r="B130" s="3" t="n">
        <v>2</v>
      </c>
      <c r="C130" s="3" t="n">
        <v>10</v>
      </c>
      <c r="D130" s="4" t="s">
        <v>245</v>
      </c>
    </row>
    <row r="131" customFormat="false" ht="15" hidden="false" customHeight="true" outlineLevel="0" collapsed="false">
      <c r="A131" s="2" t="s">
        <v>246</v>
      </c>
      <c r="B131" s="3" t="n">
        <v>2</v>
      </c>
      <c r="C131" s="3" t="n">
        <v>6</v>
      </c>
      <c r="D131" s="4" t="s">
        <v>247</v>
      </c>
    </row>
    <row r="132" customFormat="false" ht="15" hidden="false" customHeight="true" outlineLevel="0" collapsed="false">
      <c r="A132" s="2" t="s">
        <v>248</v>
      </c>
      <c r="B132" s="3" t="n">
        <v>2</v>
      </c>
      <c r="C132" s="3" t="n">
        <v>9</v>
      </c>
      <c r="D132" s="4" t="s">
        <v>249</v>
      </c>
    </row>
    <row r="133" customFormat="false" ht="15" hidden="false" customHeight="true" outlineLevel="0" collapsed="false">
      <c r="A133" s="2" t="s">
        <v>250</v>
      </c>
      <c r="B133" s="3" t="n">
        <v>2</v>
      </c>
      <c r="C133" s="3" t="n">
        <v>9</v>
      </c>
      <c r="D133" s="4" t="s">
        <v>249</v>
      </c>
    </row>
    <row r="134" customFormat="false" ht="15" hidden="false" customHeight="true" outlineLevel="0" collapsed="false">
      <c r="A134" s="2" t="s">
        <v>251</v>
      </c>
      <c r="B134" s="3" t="n">
        <v>2</v>
      </c>
      <c r="C134" s="3" t="n">
        <v>12</v>
      </c>
      <c r="D134" s="4" t="s">
        <v>252</v>
      </c>
    </row>
    <row r="135" customFormat="false" ht="15" hidden="false" customHeight="true" outlineLevel="0" collapsed="false">
      <c r="A135" s="2" t="s">
        <v>253</v>
      </c>
      <c r="B135" s="3" t="n">
        <v>2</v>
      </c>
      <c r="C135" s="3" t="n">
        <v>12</v>
      </c>
      <c r="D135" s="4" t="s">
        <v>252</v>
      </c>
    </row>
    <row r="136" customFormat="false" ht="15" hidden="false" customHeight="true" outlineLevel="0" collapsed="false">
      <c r="A136" s="2" t="s">
        <v>254</v>
      </c>
      <c r="B136" s="3" t="n">
        <v>2</v>
      </c>
      <c r="C136" s="3" t="n">
        <v>12</v>
      </c>
      <c r="D136" s="4" t="s">
        <v>252</v>
      </c>
    </row>
    <row r="137" customFormat="false" ht="15" hidden="false" customHeight="true" outlineLevel="0" collapsed="false">
      <c r="A137" s="2" t="s">
        <v>255</v>
      </c>
      <c r="B137" s="3" t="n">
        <v>2</v>
      </c>
      <c r="C137" s="3" t="n">
        <v>12</v>
      </c>
      <c r="D137" s="4" t="s">
        <v>252</v>
      </c>
    </row>
    <row r="138" customFormat="false" ht="15" hidden="false" customHeight="true" outlineLevel="0" collapsed="false">
      <c r="A138" s="2" t="s">
        <v>256</v>
      </c>
      <c r="B138" s="3" t="n">
        <v>2</v>
      </c>
      <c r="C138" s="3" t="n">
        <v>4</v>
      </c>
      <c r="D138" s="4" t="s">
        <v>257</v>
      </c>
    </row>
    <row r="139" customFormat="false" ht="15" hidden="false" customHeight="true" outlineLevel="0" collapsed="false">
      <c r="A139" s="2" t="s">
        <v>258</v>
      </c>
      <c r="B139" s="3" t="n">
        <v>2</v>
      </c>
      <c r="C139" s="3" t="n">
        <v>8</v>
      </c>
      <c r="D139" s="4" t="s">
        <v>259</v>
      </c>
    </row>
    <row r="140" customFormat="false" ht="15" hidden="false" customHeight="true" outlineLevel="0" collapsed="false">
      <c r="A140" s="2" t="s">
        <v>260</v>
      </c>
      <c r="B140" s="3" t="n">
        <v>2</v>
      </c>
      <c r="C140" s="3" t="n">
        <v>9</v>
      </c>
      <c r="D140" s="4" t="s">
        <v>261</v>
      </c>
    </row>
    <row r="141" customFormat="false" ht="15" hidden="false" customHeight="true" outlineLevel="0" collapsed="false">
      <c r="A141" s="2" t="s">
        <v>262</v>
      </c>
      <c r="B141" s="3" t="n">
        <v>2</v>
      </c>
      <c r="C141" s="3" t="n">
        <v>10</v>
      </c>
      <c r="D141" s="4" t="s">
        <v>263</v>
      </c>
    </row>
    <row r="142" customFormat="false" ht="15" hidden="false" customHeight="true" outlineLevel="0" collapsed="false">
      <c r="A142" s="2" t="s">
        <v>264</v>
      </c>
      <c r="B142" s="3" t="n">
        <v>2</v>
      </c>
      <c r="C142" s="3" t="n">
        <v>16</v>
      </c>
      <c r="D142" s="4" t="s">
        <v>265</v>
      </c>
    </row>
    <row r="143" customFormat="false" ht="15" hidden="false" customHeight="true" outlineLevel="0" collapsed="false">
      <c r="A143" s="2" t="s">
        <v>266</v>
      </c>
      <c r="B143" s="3" t="n">
        <v>2</v>
      </c>
      <c r="C143" s="3" t="n">
        <v>20</v>
      </c>
      <c r="D143" s="4" t="s">
        <v>267</v>
      </c>
    </row>
    <row r="144" customFormat="false" ht="15" hidden="false" customHeight="true" outlineLevel="0" collapsed="false">
      <c r="A144" s="2" t="s">
        <v>268</v>
      </c>
      <c r="B144" s="3" t="n">
        <v>2</v>
      </c>
      <c r="C144" s="3" t="n">
        <v>20</v>
      </c>
      <c r="D144" s="4" t="s">
        <v>267</v>
      </c>
    </row>
    <row r="145" customFormat="false" ht="15" hidden="false" customHeight="true" outlineLevel="0" collapsed="false">
      <c r="A145" s="2" t="s">
        <v>269</v>
      </c>
      <c r="B145" s="3" t="n">
        <v>2</v>
      </c>
      <c r="C145" s="3" t="n">
        <v>20</v>
      </c>
      <c r="D145" s="4" t="s">
        <v>267</v>
      </c>
    </row>
    <row r="146" customFormat="false" ht="15" hidden="false" customHeight="true" outlineLevel="0" collapsed="false">
      <c r="A146" s="2" t="s">
        <v>270</v>
      </c>
      <c r="B146" s="3" t="n">
        <v>2</v>
      </c>
      <c r="C146" s="3" t="n">
        <v>18</v>
      </c>
      <c r="D146" s="4" t="s">
        <v>271</v>
      </c>
    </row>
    <row r="147" customFormat="false" ht="15" hidden="false" customHeight="true" outlineLevel="0" collapsed="false">
      <c r="A147" s="2" t="s">
        <v>272</v>
      </c>
      <c r="B147" s="3" t="n">
        <v>2</v>
      </c>
      <c r="C147" s="3" t="n">
        <v>3</v>
      </c>
      <c r="D147" s="4" t="s">
        <v>273</v>
      </c>
    </row>
    <row r="148" customFormat="false" ht="15" hidden="false" customHeight="true" outlineLevel="0" collapsed="false">
      <c r="A148" s="2" t="s">
        <v>274</v>
      </c>
      <c r="B148" s="3" t="n">
        <v>2</v>
      </c>
      <c r="C148" s="3" t="n">
        <v>12</v>
      </c>
      <c r="D148" s="4" t="s">
        <v>275</v>
      </c>
    </row>
    <row r="149" customFormat="false" ht="15" hidden="false" customHeight="true" outlineLevel="0" collapsed="false">
      <c r="A149" s="2" t="s">
        <v>276</v>
      </c>
      <c r="B149" s="3" t="n">
        <v>2</v>
      </c>
      <c r="C149" s="3" t="n">
        <v>10</v>
      </c>
      <c r="D149" s="4" t="s">
        <v>277</v>
      </c>
    </row>
    <row r="150" customFormat="false" ht="15" hidden="false" customHeight="true" outlineLevel="0" collapsed="false">
      <c r="A150" s="2" t="s">
        <v>278</v>
      </c>
      <c r="B150" s="3" t="n">
        <v>2</v>
      </c>
      <c r="C150" s="3" t="n">
        <v>12</v>
      </c>
      <c r="D150" s="4" t="s">
        <v>279</v>
      </c>
    </row>
    <row r="151" customFormat="false" ht="15" hidden="false" customHeight="true" outlineLevel="0" collapsed="false">
      <c r="A151" s="2" t="s">
        <v>280</v>
      </c>
      <c r="B151" s="3" t="n">
        <v>2</v>
      </c>
      <c r="C151" s="3" t="n">
        <v>12</v>
      </c>
      <c r="D151" s="4" t="s">
        <v>279</v>
      </c>
    </row>
    <row r="152" customFormat="false" ht="15" hidden="false" customHeight="true" outlineLevel="0" collapsed="false">
      <c r="A152" s="2" t="s">
        <v>281</v>
      </c>
      <c r="B152" s="3" t="n">
        <v>2</v>
      </c>
      <c r="C152" s="3" t="n">
        <v>12</v>
      </c>
      <c r="D152" s="4" t="s">
        <v>279</v>
      </c>
    </row>
    <row r="153" customFormat="false" ht="15" hidden="false" customHeight="true" outlineLevel="0" collapsed="false">
      <c r="A153" s="2" t="s">
        <v>282</v>
      </c>
      <c r="B153" s="3" t="n">
        <v>2</v>
      </c>
      <c r="C153" s="3" t="n">
        <v>12</v>
      </c>
      <c r="D153" s="4" t="s">
        <v>279</v>
      </c>
    </row>
    <row r="154" customFormat="false" ht="15" hidden="false" customHeight="true" outlineLevel="0" collapsed="false">
      <c r="A154" s="2" t="s">
        <v>283</v>
      </c>
      <c r="B154" s="3" t="n">
        <v>2</v>
      </c>
      <c r="C154" s="3" t="n">
        <v>12</v>
      </c>
      <c r="D154" s="4" t="s">
        <v>279</v>
      </c>
    </row>
    <row r="155" customFormat="false" ht="15" hidden="false" customHeight="true" outlineLevel="0" collapsed="false">
      <c r="A155" s="2" t="s">
        <v>284</v>
      </c>
      <c r="B155" s="3" t="n">
        <v>2</v>
      </c>
      <c r="C155" s="3" t="n">
        <v>12</v>
      </c>
      <c r="D155" s="4" t="s">
        <v>279</v>
      </c>
    </row>
    <row r="156" customFormat="false" ht="15" hidden="false" customHeight="true" outlineLevel="0" collapsed="false">
      <c r="A156" s="2" t="s">
        <v>285</v>
      </c>
      <c r="B156" s="3" t="n">
        <v>2</v>
      </c>
      <c r="C156" s="3" t="n">
        <v>11</v>
      </c>
      <c r="D156" s="4" t="s">
        <v>286</v>
      </c>
    </row>
    <row r="157" customFormat="false" ht="15" hidden="false" customHeight="true" outlineLevel="0" collapsed="false">
      <c r="A157" s="2" t="s">
        <v>287</v>
      </c>
      <c r="B157" s="3" t="n">
        <v>2</v>
      </c>
      <c r="C157" s="3" t="n">
        <v>13</v>
      </c>
      <c r="D157" s="4" t="s">
        <v>288</v>
      </c>
    </row>
    <row r="158" customFormat="false" ht="15" hidden="false" customHeight="true" outlineLevel="0" collapsed="false">
      <c r="A158" s="2" t="s">
        <v>289</v>
      </c>
      <c r="B158" s="3" t="n">
        <v>2</v>
      </c>
      <c r="C158" s="3" t="n">
        <v>13</v>
      </c>
      <c r="D158" s="4" t="s">
        <v>290</v>
      </c>
    </row>
    <row r="159" customFormat="false" ht="15" hidden="false" customHeight="true" outlineLevel="0" collapsed="false">
      <c r="A159" s="2" t="s">
        <v>291</v>
      </c>
      <c r="B159" s="3" t="n">
        <v>2</v>
      </c>
      <c r="C159" s="3" t="n">
        <v>7</v>
      </c>
      <c r="D159" s="4" t="s">
        <v>292</v>
      </c>
    </row>
    <row r="160" customFormat="false" ht="15" hidden="false" customHeight="true" outlineLevel="0" collapsed="false">
      <c r="A160" s="2" t="s">
        <v>293</v>
      </c>
      <c r="B160" s="3" t="n">
        <v>2</v>
      </c>
      <c r="C160" s="3" t="n">
        <v>9</v>
      </c>
      <c r="D160" s="4" t="s">
        <v>294</v>
      </c>
    </row>
    <row r="161" customFormat="false" ht="15" hidden="false" customHeight="true" outlineLevel="0" collapsed="false">
      <c r="A161" s="2" t="s">
        <v>295</v>
      </c>
      <c r="B161" s="3" t="n">
        <v>2</v>
      </c>
      <c r="C161" s="3" t="n">
        <v>12</v>
      </c>
      <c r="D161" s="4" t="s">
        <v>296</v>
      </c>
    </row>
    <row r="162" customFormat="false" ht="15" hidden="false" customHeight="true" outlineLevel="0" collapsed="false">
      <c r="A162" s="2" t="s">
        <v>297</v>
      </c>
      <c r="B162" s="3" t="n">
        <v>2</v>
      </c>
      <c r="C162" s="3" t="n">
        <v>14</v>
      </c>
      <c r="D162" s="4" t="s">
        <v>298</v>
      </c>
    </row>
    <row r="163" customFormat="false" ht="15" hidden="false" customHeight="true" outlineLevel="0" collapsed="false">
      <c r="A163" s="2" t="s">
        <v>299</v>
      </c>
      <c r="B163" s="3" t="n">
        <v>2</v>
      </c>
      <c r="C163" s="3" t="n">
        <v>12</v>
      </c>
      <c r="D163" s="4" t="s">
        <v>300</v>
      </c>
    </row>
    <row r="164" customFormat="false" ht="15" hidden="false" customHeight="true" outlineLevel="0" collapsed="false">
      <c r="A164" s="2" t="s">
        <v>301</v>
      </c>
      <c r="B164" s="3" t="n">
        <v>2</v>
      </c>
      <c r="C164" s="3" t="n">
        <v>12</v>
      </c>
      <c r="D164" s="4" t="s">
        <v>302</v>
      </c>
    </row>
    <row r="165" customFormat="false" ht="15" hidden="false" customHeight="true" outlineLevel="0" collapsed="false">
      <c r="A165" s="2" t="s">
        <v>303</v>
      </c>
      <c r="B165" s="3" t="n">
        <v>2</v>
      </c>
      <c r="C165" s="3" t="n">
        <v>11</v>
      </c>
      <c r="D165" s="4" t="s">
        <v>304</v>
      </c>
    </row>
    <row r="166" customFormat="false" ht="15" hidden="false" customHeight="true" outlineLevel="0" collapsed="false">
      <c r="A166" s="2" t="s">
        <v>305</v>
      </c>
      <c r="B166" s="3" t="n">
        <v>2</v>
      </c>
      <c r="C166" s="3" t="n">
        <v>11</v>
      </c>
      <c r="D166" s="4" t="s">
        <v>304</v>
      </c>
    </row>
    <row r="167" customFormat="false" ht="15" hidden="false" customHeight="true" outlineLevel="0" collapsed="false">
      <c r="A167" s="2" t="s">
        <v>306</v>
      </c>
      <c r="B167" s="3" t="n">
        <v>2</v>
      </c>
      <c r="C167" s="3" t="n">
        <v>11</v>
      </c>
      <c r="D167" s="4" t="s">
        <v>304</v>
      </c>
    </row>
    <row r="168" customFormat="false" ht="15" hidden="false" customHeight="true" outlineLevel="0" collapsed="false">
      <c r="A168" s="2" t="s">
        <v>307</v>
      </c>
      <c r="B168" s="3" t="n">
        <v>2</v>
      </c>
      <c r="C168" s="3" t="n">
        <v>23</v>
      </c>
      <c r="D168" s="4" t="s">
        <v>308</v>
      </c>
    </row>
    <row r="169" customFormat="false" ht="15" hidden="false" customHeight="true" outlineLevel="0" collapsed="false">
      <c r="A169" s="2" t="s">
        <v>309</v>
      </c>
      <c r="B169" s="3" t="n">
        <v>2</v>
      </c>
      <c r="C169" s="3" t="n">
        <v>17</v>
      </c>
      <c r="D169" s="4" t="s">
        <v>310</v>
      </c>
    </row>
    <row r="170" customFormat="false" ht="15" hidden="false" customHeight="true" outlineLevel="0" collapsed="false">
      <c r="A170" s="2" t="s">
        <v>311</v>
      </c>
      <c r="B170" s="3" t="n">
        <v>2</v>
      </c>
      <c r="C170" s="3" t="n">
        <v>17</v>
      </c>
      <c r="D170" s="4" t="s">
        <v>310</v>
      </c>
    </row>
    <row r="171" customFormat="false" ht="15" hidden="false" customHeight="true" outlineLevel="0" collapsed="false">
      <c r="A171" s="2" t="s">
        <v>312</v>
      </c>
      <c r="B171" s="3" t="n">
        <v>2</v>
      </c>
      <c r="C171" s="3" t="n">
        <v>17</v>
      </c>
      <c r="D171" s="4" t="s">
        <v>310</v>
      </c>
    </row>
    <row r="172" customFormat="false" ht="15" hidden="false" customHeight="true" outlineLevel="0" collapsed="false">
      <c r="A172" s="2" t="s">
        <v>313</v>
      </c>
      <c r="B172" s="3" t="n">
        <v>2</v>
      </c>
      <c r="C172" s="3" t="n">
        <v>17</v>
      </c>
      <c r="D172" s="4" t="s">
        <v>310</v>
      </c>
    </row>
    <row r="173" customFormat="false" ht="15" hidden="false" customHeight="true" outlineLevel="0" collapsed="false">
      <c r="A173" s="2" t="s">
        <v>314</v>
      </c>
      <c r="B173" s="3" t="n">
        <v>2</v>
      </c>
      <c r="C173" s="3" t="n">
        <v>17</v>
      </c>
      <c r="D173" s="4" t="s">
        <v>310</v>
      </c>
    </row>
    <row r="174" customFormat="false" ht="15" hidden="false" customHeight="true" outlineLevel="0" collapsed="false">
      <c r="A174" s="2" t="s">
        <v>315</v>
      </c>
      <c r="B174" s="3" t="n">
        <v>2</v>
      </c>
      <c r="C174" s="3" t="n">
        <v>17</v>
      </c>
      <c r="D174" s="4" t="s">
        <v>316</v>
      </c>
    </row>
    <row r="175" customFormat="false" ht="15" hidden="false" customHeight="true" outlineLevel="0" collapsed="false">
      <c r="A175" s="2" t="s">
        <v>317</v>
      </c>
      <c r="B175" s="3" t="n">
        <v>2</v>
      </c>
      <c r="C175" s="3" t="n">
        <v>14</v>
      </c>
      <c r="D175" s="4" t="s">
        <v>318</v>
      </c>
    </row>
    <row r="176" customFormat="false" ht="15" hidden="false" customHeight="true" outlineLevel="0" collapsed="false">
      <c r="A176" s="2" t="s">
        <v>319</v>
      </c>
      <c r="B176" s="3" t="n">
        <v>2</v>
      </c>
      <c r="C176" s="3" t="n">
        <v>14</v>
      </c>
      <c r="D176" s="4" t="s">
        <v>318</v>
      </c>
    </row>
    <row r="177" customFormat="false" ht="15" hidden="false" customHeight="true" outlineLevel="0" collapsed="false">
      <c r="A177" s="2" t="s">
        <v>320</v>
      </c>
      <c r="B177" s="3" t="n">
        <v>2</v>
      </c>
      <c r="C177" s="3" t="n">
        <v>11</v>
      </c>
      <c r="D177" s="4" t="s">
        <v>321</v>
      </c>
    </row>
    <row r="178" customFormat="false" ht="15" hidden="false" customHeight="true" outlineLevel="0" collapsed="false">
      <c r="A178" s="2" t="s">
        <v>322</v>
      </c>
      <c r="B178" s="3" t="n">
        <v>2</v>
      </c>
      <c r="C178" s="3" t="n">
        <v>14</v>
      </c>
      <c r="D178" s="4" t="s">
        <v>318</v>
      </c>
    </row>
    <row r="179" customFormat="false" ht="15" hidden="false" customHeight="true" outlineLevel="0" collapsed="false">
      <c r="A179" s="2" t="s">
        <v>323</v>
      </c>
      <c r="B179" s="3" t="n">
        <v>2</v>
      </c>
      <c r="C179" s="3" t="n">
        <v>14</v>
      </c>
      <c r="D179" s="4" t="s">
        <v>318</v>
      </c>
    </row>
    <row r="180" customFormat="false" ht="15" hidden="false" customHeight="true" outlineLevel="0" collapsed="false">
      <c r="A180" s="2" t="s">
        <v>324</v>
      </c>
      <c r="B180" s="3" t="n">
        <v>2</v>
      </c>
      <c r="C180" s="3" t="n">
        <v>14</v>
      </c>
      <c r="D180" s="4" t="s">
        <v>318</v>
      </c>
    </row>
    <row r="181" customFormat="false" ht="15" hidden="false" customHeight="true" outlineLevel="0" collapsed="false">
      <c r="A181" s="2" t="s">
        <v>325</v>
      </c>
      <c r="B181" s="3" t="n">
        <v>2</v>
      </c>
      <c r="C181" s="3" t="n">
        <v>14</v>
      </c>
      <c r="D181" s="4" t="s">
        <v>318</v>
      </c>
    </row>
    <row r="182" customFormat="false" ht="15" hidden="false" customHeight="true" outlineLevel="0" collapsed="false">
      <c r="A182" s="2" t="s">
        <v>326</v>
      </c>
      <c r="B182" s="3" t="n">
        <v>2</v>
      </c>
      <c r="C182" s="3" t="n">
        <v>16</v>
      </c>
      <c r="D182" s="4" t="s">
        <v>327</v>
      </c>
    </row>
    <row r="183" customFormat="false" ht="15" hidden="false" customHeight="true" outlineLevel="0" collapsed="false">
      <c r="A183" s="2" t="s">
        <v>328</v>
      </c>
      <c r="B183" s="3" t="n">
        <v>2</v>
      </c>
      <c r="C183" s="3" t="n">
        <v>10</v>
      </c>
      <c r="D183" s="4" t="s">
        <v>329</v>
      </c>
    </row>
    <row r="184" customFormat="false" ht="15" hidden="false" customHeight="true" outlineLevel="0" collapsed="false">
      <c r="A184" s="2" t="s">
        <v>330</v>
      </c>
      <c r="B184" s="3" t="n">
        <v>2</v>
      </c>
      <c r="C184" s="3" t="n">
        <v>8</v>
      </c>
      <c r="D184" s="4" t="s">
        <v>331</v>
      </c>
    </row>
    <row r="185" customFormat="false" ht="15" hidden="false" customHeight="true" outlineLevel="0" collapsed="false">
      <c r="A185" s="2" t="s">
        <v>332</v>
      </c>
      <c r="B185" s="3" t="n">
        <v>2</v>
      </c>
      <c r="C185" s="3" t="n">
        <v>18</v>
      </c>
      <c r="D185" s="4" t="s">
        <v>333</v>
      </c>
    </row>
    <row r="186" customFormat="false" ht="15" hidden="false" customHeight="true" outlineLevel="0" collapsed="false">
      <c r="A186" s="2" t="s">
        <v>334</v>
      </c>
      <c r="B186" s="3" t="n">
        <v>2</v>
      </c>
      <c r="C186" s="3" t="n">
        <v>18</v>
      </c>
      <c r="D186" s="4" t="s">
        <v>333</v>
      </c>
    </row>
    <row r="187" customFormat="false" ht="15" hidden="false" customHeight="true" outlineLevel="0" collapsed="false">
      <c r="A187" s="2" t="s">
        <v>335</v>
      </c>
      <c r="B187" s="3" t="n">
        <v>2</v>
      </c>
      <c r="C187" s="3" t="n">
        <v>8</v>
      </c>
      <c r="D187" s="4" t="s">
        <v>336</v>
      </c>
    </row>
    <row r="188" customFormat="false" ht="15" hidden="false" customHeight="true" outlineLevel="0" collapsed="false">
      <c r="A188" s="2" t="s">
        <v>337</v>
      </c>
      <c r="B188" s="3" t="n">
        <v>2</v>
      </c>
      <c r="C188" s="3" t="n">
        <v>8</v>
      </c>
      <c r="D188" s="4" t="s">
        <v>336</v>
      </c>
    </row>
    <row r="189" customFormat="false" ht="15" hidden="false" customHeight="true" outlineLevel="0" collapsed="false">
      <c r="A189" s="2" t="s">
        <v>338</v>
      </c>
      <c r="B189" s="3" t="n">
        <v>2</v>
      </c>
      <c r="C189" s="3" t="n">
        <v>8</v>
      </c>
      <c r="D189" s="4" t="s">
        <v>336</v>
      </c>
    </row>
    <row r="190" customFormat="false" ht="15" hidden="false" customHeight="true" outlineLevel="0" collapsed="false">
      <c r="A190" s="2" t="s">
        <v>339</v>
      </c>
      <c r="B190" s="3" t="n">
        <v>2</v>
      </c>
      <c r="C190" s="3" t="n">
        <v>8</v>
      </c>
      <c r="D190" s="4" t="s">
        <v>336</v>
      </c>
    </row>
    <row r="191" customFormat="false" ht="15" hidden="false" customHeight="true" outlineLevel="0" collapsed="false">
      <c r="A191" s="2" t="s">
        <v>340</v>
      </c>
      <c r="B191" s="3" t="n">
        <v>2</v>
      </c>
      <c r="C191" s="3" t="n">
        <v>8</v>
      </c>
      <c r="D191" s="4" t="s">
        <v>336</v>
      </c>
    </row>
    <row r="192" customFormat="false" ht="15" hidden="false" customHeight="true" outlineLevel="0" collapsed="false">
      <c r="A192" s="2" t="s">
        <v>341</v>
      </c>
      <c r="B192" s="3" t="n">
        <v>2</v>
      </c>
      <c r="C192" s="3" t="n">
        <v>16</v>
      </c>
      <c r="D192" s="4" t="s">
        <v>342</v>
      </c>
    </row>
    <row r="193" customFormat="false" ht="15" hidden="false" customHeight="true" outlineLevel="0" collapsed="false">
      <c r="A193" s="2" t="s">
        <v>343</v>
      </c>
      <c r="B193" s="3" t="n">
        <v>2</v>
      </c>
      <c r="C193" s="3" t="n">
        <v>10</v>
      </c>
      <c r="D193" s="4" t="s">
        <v>344</v>
      </c>
    </row>
    <row r="194" customFormat="false" ht="15" hidden="false" customHeight="true" outlineLevel="0" collapsed="false">
      <c r="A194" s="2" t="s">
        <v>345</v>
      </c>
      <c r="B194" s="3" t="n">
        <v>2</v>
      </c>
      <c r="C194" s="3" t="n">
        <v>10</v>
      </c>
      <c r="D194" s="4" t="s">
        <v>344</v>
      </c>
    </row>
    <row r="195" customFormat="false" ht="15" hidden="false" customHeight="true" outlineLevel="0" collapsed="false">
      <c r="A195" s="2" t="s">
        <v>346</v>
      </c>
      <c r="B195" s="3" t="n">
        <v>2</v>
      </c>
      <c r="C195" s="3" t="n">
        <v>10</v>
      </c>
      <c r="D195" s="4" t="s">
        <v>344</v>
      </c>
    </row>
    <row r="196" customFormat="false" ht="15" hidden="false" customHeight="true" outlineLevel="0" collapsed="false">
      <c r="A196" s="2" t="s">
        <v>347</v>
      </c>
      <c r="B196" s="3" t="n">
        <v>2</v>
      </c>
      <c r="C196" s="3" t="n">
        <v>13</v>
      </c>
      <c r="D196" s="4" t="s">
        <v>348</v>
      </c>
    </row>
    <row r="197" customFormat="false" ht="15" hidden="false" customHeight="true" outlineLevel="0" collapsed="false">
      <c r="A197" s="2" t="s">
        <v>349</v>
      </c>
      <c r="B197" s="3" t="n">
        <v>2</v>
      </c>
      <c r="C197" s="3" t="n">
        <v>13</v>
      </c>
      <c r="D197" s="4" t="s">
        <v>350</v>
      </c>
    </row>
    <row r="198" customFormat="false" ht="15" hidden="false" customHeight="true" outlineLevel="0" collapsed="false">
      <c r="A198" s="2" t="s">
        <v>351</v>
      </c>
      <c r="B198" s="3" t="n">
        <v>2</v>
      </c>
      <c r="C198" s="3" t="n">
        <v>12</v>
      </c>
      <c r="D198" s="4" t="s">
        <v>352</v>
      </c>
    </row>
    <row r="199" customFormat="false" ht="15" hidden="false" customHeight="true" outlineLevel="0" collapsed="false">
      <c r="A199" s="2" t="s">
        <v>353</v>
      </c>
      <c r="B199" s="3" t="n">
        <v>2</v>
      </c>
      <c r="C199" s="3" t="n">
        <v>14</v>
      </c>
      <c r="D199" s="4" t="s">
        <v>354</v>
      </c>
    </row>
    <row r="200" customFormat="false" ht="15" hidden="false" customHeight="true" outlineLevel="0" collapsed="false">
      <c r="A200" s="2" t="s">
        <v>355</v>
      </c>
      <c r="B200" s="3" t="n">
        <v>1</v>
      </c>
      <c r="C200" s="3" t="n">
        <v>8</v>
      </c>
      <c r="D200" s="4" t="s">
        <v>356</v>
      </c>
    </row>
    <row r="201" customFormat="false" ht="15" hidden="false" customHeight="true" outlineLevel="0" collapsed="false">
      <c r="A201" s="2" t="s">
        <v>357</v>
      </c>
      <c r="B201" s="3" t="n">
        <v>1</v>
      </c>
      <c r="C201" s="3" t="n">
        <v>8</v>
      </c>
      <c r="D201" s="4" t="s">
        <v>356</v>
      </c>
    </row>
    <row r="202" customFormat="false" ht="15" hidden="false" customHeight="true" outlineLevel="0" collapsed="false">
      <c r="A202" s="2" t="s">
        <v>358</v>
      </c>
      <c r="B202" s="3" t="n">
        <v>1</v>
      </c>
      <c r="C202" s="3" t="n">
        <v>8</v>
      </c>
      <c r="D202" s="4" t="s">
        <v>356</v>
      </c>
    </row>
    <row r="203" customFormat="false" ht="15" hidden="false" customHeight="true" outlineLevel="0" collapsed="false">
      <c r="A203" s="2" t="s">
        <v>359</v>
      </c>
      <c r="B203" s="3" t="n">
        <v>1</v>
      </c>
      <c r="C203" s="3" t="n">
        <v>8</v>
      </c>
      <c r="D203" s="4" t="s">
        <v>356</v>
      </c>
    </row>
    <row r="204" customFormat="false" ht="15" hidden="false" customHeight="true" outlineLevel="0" collapsed="false">
      <c r="A204" s="2" t="s">
        <v>360</v>
      </c>
      <c r="B204" s="3" t="n">
        <v>1</v>
      </c>
      <c r="C204" s="3" t="n">
        <v>8</v>
      </c>
      <c r="D204" s="4" t="s">
        <v>356</v>
      </c>
    </row>
    <row r="205" customFormat="false" ht="15" hidden="false" customHeight="true" outlineLevel="0" collapsed="false">
      <c r="A205" s="2" t="s">
        <v>361</v>
      </c>
      <c r="B205" s="3" t="n">
        <v>1</v>
      </c>
      <c r="C205" s="3" t="n">
        <v>8</v>
      </c>
      <c r="D205" s="4" t="s">
        <v>356</v>
      </c>
    </row>
    <row r="206" customFormat="false" ht="15" hidden="false" customHeight="true" outlineLevel="0" collapsed="false">
      <c r="A206" s="2" t="s">
        <v>362</v>
      </c>
      <c r="B206" s="3" t="n">
        <v>1</v>
      </c>
      <c r="C206" s="3" t="n">
        <v>8</v>
      </c>
      <c r="D206" s="4" t="s">
        <v>356</v>
      </c>
    </row>
    <row r="207" customFormat="false" ht="15" hidden="false" customHeight="true" outlineLevel="0" collapsed="false">
      <c r="A207" s="2" t="s">
        <v>363</v>
      </c>
      <c r="B207" s="3" t="n">
        <v>1</v>
      </c>
      <c r="C207" s="3" t="n">
        <v>6</v>
      </c>
      <c r="D207" s="4" t="s">
        <v>364</v>
      </c>
    </row>
    <row r="208" customFormat="false" ht="15" hidden="false" customHeight="true" outlineLevel="0" collapsed="false">
      <c r="A208" s="2" t="s">
        <v>365</v>
      </c>
      <c r="B208" s="3" t="n">
        <v>1</v>
      </c>
      <c r="C208" s="3" t="n">
        <v>6</v>
      </c>
      <c r="D208" s="4" t="s">
        <v>364</v>
      </c>
    </row>
    <row r="209" customFormat="false" ht="15" hidden="false" customHeight="true" outlineLevel="0" collapsed="false">
      <c r="A209" s="2" t="s">
        <v>366</v>
      </c>
      <c r="B209" s="3" t="n">
        <v>1</v>
      </c>
      <c r="C209" s="3" t="n">
        <v>6</v>
      </c>
      <c r="D209" s="4" t="s">
        <v>364</v>
      </c>
    </row>
    <row r="210" customFormat="false" ht="15" hidden="false" customHeight="true" outlineLevel="0" collapsed="false">
      <c r="A210" s="2" t="s">
        <v>367</v>
      </c>
      <c r="B210" s="3" t="n">
        <v>1</v>
      </c>
      <c r="C210" s="3" t="n">
        <v>6</v>
      </c>
      <c r="D210" s="4" t="s">
        <v>364</v>
      </c>
    </row>
    <row r="211" customFormat="false" ht="15" hidden="false" customHeight="true" outlineLevel="0" collapsed="false">
      <c r="A211" s="2" t="s">
        <v>368</v>
      </c>
      <c r="B211" s="3" t="n">
        <v>1</v>
      </c>
      <c r="C211" s="3" t="n">
        <v>6</v>
      </c>
      <c r="D211" s="4" t="s">
        <v>364</v>
      </c>
    </row>
    <row r="212" customFormat="false" ht="15" hidden="false" customHeight="true" outlineLevel="0" collapsed="false">
      <c r="A212" s="2" t="s">
        <v>369</v>
      </c>
      <c r="B212" s="3" t="n">
        <v>1</v>
      </c>
      <c r="C212" s="3" t="n">
        <v>6</v>
      </c>
      <c r="D212" s="4" t="s">
        <v>364</v>
      </c>
    </row>
    <row r="213" customFormat="false" ht="15" hidden="false" customHeight="true" outlineLevel="0" collapsed="false">
      <c r="A213" s="2" t="s">
        <v>370</v>
      </c>
      <c r="B213" s="3" t="n">
        <v>1</v>
      </c>
      <c r="C213" s="3" t="n">
        <v>6</v>
      </c>
      <c r="D213" s="4" t="s">
        <v>364</v>
      </c>
    </row>
    <row r="214" customFormat="false" ht="15" hidden="false" customHeight="true" outlineLevel="0" collapsed="false">
      <c r="A214" s="2" t="s">
        <v>371</v>
      </c>
      <c r="B214" s="3" t="n">
        <v>1</v>
      </c>
      <c r="C214" s="3" t="n">
        <v>6</v>
      </c>
      <c r="D214" s="4" t="s">
        <v>364</v>
      </c>
    </row>
    <row r="215" customFormat="false" ht="15" hidden="false" customHeight="true" outlineLevel="0" collapsed="false">
      <c r="A215" s="2" t="s">
        <v>372</v>
      </c>
      <c r="B215" s="3" t="n">
        <v>1</v>
      </c>
      <c r="C215" s="3" t="n">
        <v>6</v>
      </c>
      <c r="D215" s="4" t="s">
        <v>364</v>
      </c>
    </row>
    <row r="216" customFormat="false" ht="15" hidden="false" customHeight="true" outlineLevel="0" collapsed="false">
      <c r="A216" s="2" t="s">
        <v>373</v>
      </c>
      <c r="B216" s="3" t="n">
        <v>1</v>
      </c>
      <c r="C216" s="3" t="n">
        <v>6</v>
      </c>
      <c r="D216" s="4" t="s">
        <v>374</v>
      </c>
    </row>
    <row r="217" customFormat="false" ht="15" hidden="false" customHeight="true" outlineLevel="0" collapsed="false">
      <c r="A217" s="2" t="s">
        <v>375</v>
      </c>
      <c r="B217" s="3" t="n">
        <v>1</v>
      </c>
      <c r="C217" s="3" t="n">
        <v>6</v>
      </c>
      <c r="D217" s="4" t="s">
        <v>374</v>
      </c>
    </row>
    <row r="218" customFormat="false" ht="15" hidden="false" customHeight="true" outlineLevel="0" collapsed="false">
      <c r="A218" s="2" t="s">
        <v>376</v>
      </c>
      <c r="B218" s="3" t="n">
        <v>1</v>
      </c>
      <c r="C218" s="3" t="n">
        <v>6</v>
      </c>
      <c r="D218" s="4" t="s">
        <v>374</v>
      </c>
    </row>
    <row r="219" customFormat="false" ht="15" hidden="false" customHeight="true" outlineLevel="0" collapsed="false">
      <c r="A219" s="2" t="s">
        <v>377</v>
      </c>
      <c r="B219" s="3" t="n">
        <v>1</v>
      </c>
      <c r="C219" s="3" t="n">
        <v>6</v>
      </c>
      <c r="D219" s="4" t="s">
        <v>374</v>
      </c>
    </row>
    <row r="220" customFormat="false" ht="15" hidden="false" customHeight="true" outlineLevel="0" collapsed="false">
      <c r="A220" s="2" t="s">
        <v>378</v>
      </c>
      <c r="B220" s="3" t="n">
        <v>1</v>
      </c>
      <c r="C220" s="3" t="n">
        <v>6</v>
      </c>
      <c r="D220" s="4" t="s">
        <v>374</v>
      </c>
    </row>
    <row r="221" customFormat="false" ht="15" hidden="false" customHeight="true" outlineLevel="0" collapsed="false">
      <c r="A221" s="2" t="s">
        <v>379</v>
      </c>
      <c r="B221" s="3" t="n">
        <v>1</v>
      </c>
      <c r="C221" s="3" t="n">
        <v>6</v>
      </c>
      <c r="D221" s="4" t="s">
        <v>374</v>
      </c>
    </row>
    <row r="222" customFormat="false" ht="15" hidden="false" customHeight="true" outlineLevel="0" collapsed="false">
      <c r="A222" s="2" t="s">
        <v>380</v>
      </c>
      <c r="B222" s="3" t="n">
        <v>1</v>
      </c>
      <c r="C222" s="3" t="n">
        <v>6</v>
      </c>
      <c r="D222" s="4" t="s">
        <v>374</v>
      </c>
    </row>
    <row r="223" customFormat="false" ht="15" hidden="false" customHeight="true" outlineLevel="0" collapsed="false">
      <c r="A223" s="2" t="s">
        <v>381</v>
      </c>
      <c r="B223" s="3" t="n">
        <v>1</v>
      </c>
      <c r="C223" s="3" t="n">
        <v>6</v>
      </c>
      <c r="D223" s="4" t="s">
        <v>374</v>
      </c>
    </row>
    <row r="224" customFormat="false" ht="15" hidden="false" customHeight="true" outlineLevel="0" collapsed="false">
      <c r="A224" s="2" t="s">
        <v>382</v>
      </c>
      <c r="B224" s="3" t="n">
        <v>1</v>
      </c>
      <c r="C224" s="3" t="n">
        <v>6</v>
      </c>
      <c r="D224" s="4" t="s">
        <v>374</v>
      </c>
    </row>
    <row r="225" customFormat="false" ht="15" hidden="false" customHeight="true" outlineLevel="0" collapsed="false">
      <c r="A225" s="2" t="s">
        <v>383</v>
      </c>
      <c r="B225" s="3" t="n">
        <v>1</v>
      </c>
      <c r="C225" s="3" t="n">
        <v>6</v>
      </c>
      <c r="D225" s="4" t="s">
        <v>374</v>
      </c>
    </row>
    <row r="226" customFormat="false" ht="15" hidden="false" customHeight="true" outlineLevel="0" collapsed="false">
      <c r="A226" s="2" t="s">
        <v>384</v>
      </c>
      <c r="B226" s="3" t="n">
        <v>1</v>
      </c>
      <c r="C226" s="3" t="n">
        <v>6</v>
      </c>
      <c r="D226" s="4" t="s">
        <v>374</v>
      </c>
    </row>
    <row r="227" customFormat="false" ht="15" hidden="false" customHeight="true" outlineLevel="0" collapsed="false">
      <c r="A227" s="2" t="s">
        <v>385</v>
      </c>
      <c r="B227" s="3" t="n">
        <v>1</v>
      </c>
      <c r="C227" s="3" t="n">
        <v>6</v>
      </c>
      <c r="D227" s="4" t="s">
        <v>374</v>
      </c>
    </row>
    <row r="228" customFormat="false" ht="15" hidden="false" customHeight="true" outlineLevel="0" collapsed="false">
      <c r="A228" s="2" t="s">
        <v>386</v>
      </c>
      <c r="B228" s="3" t="n">
        <v>1</v>
      </c>
      <c r="C228" s="3" t="n">
        <v>4</v>
      </c>
      <c r="D228" s="4" t="s">
        <v>387</v>
      </c>
    </row>
    <row r="229" customFormat="false" ht="15" hidden="false" customHeight="true" outlineLevel="0" collapsed="false">
      <c r="A229" s="2" t="s">
        <v>388</v>
      </c>
      <c r="B229" s="3" t="n">
        <v>1</v>
      </c>
      <c r="C229" s="3" t="n">
        <v>4</v>
      </c>
      <c r="D229" s="4" t="s">
        <v>387</v>
      </c>
    </row>
    <row r="230" customFormat="false" ht="15" hidden="false" customHeight="true" outlineLevel="0" collapsed="false">
      <c r="A230" s="2" t="s">
        <v>389</v>
      </c>
      <c r="B230" s="3" t="n">
        <v>1</v>
      </c>
      <c r="C230" s="3" t="n">
        <v>4</v>
      </c>
      <c r="D230" s="4" t="s">
        <v>387</v>
      </c>
    </row>
    <row r="231" customFormat="false" ht="15" hidden="false" customHeight="true" outlineLevel="0" collapsed="false">
      <c r="A231" s="2" t="s">
        <v>390</v>
      </c>
      <c r="B231" s="3" t="n">
        <v>1</v>
      </c>
      <c r="C231" s="3" t="n">
        <v>4</v>
      </c>
      <c r="D231" s="4" t="s">
        <v>387</v>
      </c>
    </row>
    <row r="232" customFormat="false" ht="15" hidden="false" customHeight="true" outlineLevel="0" collapsed="false">
      <c r="A232" s="2" t="s">
        <v>391</v>
      </c>
      <c r="B232" s="3" t="n">
        <v>1</v>
      </c>
      <c r="C232" s="3" t="n">
        <v>4</v>
      </c>
      <c r="D232" s="4" t="s">
        <v>387</v>
      </c>
    </row>
    <row r="233" customFormat="false" ht="15" hidden="false" customHeight="true" outlineLevel="0" collapsed="false">
      <c r="A233" s="2" t="s">
        <v>392</v>
      </c>
      <c r="B233" s="3" t="n">
        <v>1</v>
      </c>
      <c r="C233" s="3" t="n">
        <v>4</v>
      </c>
      <c r="D233" s="4" t="s">
        <v>387</v>
      </c>
    </row>
    <row r="234" customFormat="false" ht="15" hidden="false" customHeight="true" outlineLevel="0" collapsed="false">
      <c r="A234" s="2" t="s">
        <v>393</v>
      </c>
      <c r="B234" s="3" t="n">
        <v>1</v>
      </c>
      <c r="C234" s="3" t="n">
        <v>4</v>
      </c>
      <c r="D234" s="4" t="s">
        <v>394</v>
      </c>
    </row>
    <row r="235" customFormat="false" ht="15" hidden="false" customHeight="true" outlineLevel="0" collapsed="false">
      <c r="A235" s="2" t="s">
        <v>395</v>
      </c>
      <c r="B235" s="3" t="n">
        <v>1</v>
      </c>
      <c r="C235" s="3" t="n">
        <v>4</v>
      </c>
      <c r="D235" s="4" t="s">
        <v>394</v>
      </c>
    </row>
    <row r="236" customFormat="false" ht="15" hidden="false" customHeight="true" outlineLevel="0" collapsed="false">
      <c r="A236" s="2" t="s">
        <v>396</v>
      </c>
      <c r="B236" s="3" t="n">
        <v>1</v>
      </c>
      <c r="C236" s="3" t="n">
        <v>4</v>
      </c>
      <c r="D236" s="4" t="s">
        <v>394</v>
      </c>
    </row>
    <row r="237" customFormat="false" ht="15" hidden="false" customHeight="true" outlineLevel="0" collapsed="false">
      <c r="A237" s="2" t="s">
        <v>397</v>
      </c>
      <c r="B237" s="3" t="n">
        <v>1</v>
      </c>
      <c r="C237" s="3" t="n">
        <v>4</v>
      </c>
      <c r="D237" s="4" t="s">
        <v>394</v>
      </c>
    </row>
    <row r="238" customFormat="false" ht="15" hidden="false" customHeight="true" outlineLevel="0" collapsed="false">
      <c r="A238" s="2" t="s">
        <v>398</v>
      </c>
      <c r="B238" s="3" t="n">
        <v>1</v>
      </c>
      <c r="C238" s="3" t="n">
        <v>4</v>
      </c>
      <c r="D238" s="4" t="s">
        <v>394</v>
      </c>
    </row>
    <row r="239" customFormat="false" ht="15" hidden="false" customHeight="true" outlineLevel="0" collapsed="false">
      <c r="A239" s="2" t="s">
        <v>399</v>
      </c>
      <c r="B239" s="3" t="n">
        <v>1</v>
      </c>
      <c r="C239" s="3" t="n">
        <v>8</v>
      </c>
      <c r="D239" s="4" t="s">
        <v>400</v>
      </c>
    </row>
    <row r="240" customFormat="false" ht="15" hidden="false" customHeight="true" outlineLevel="0" collapsed="false">
      <c r="A240" s="2" t="s">
        <v>401</v>
      </c>
      <c r="B240" s="3" t="n">
        <v>1</v>
      </c>
      <c r="C240" s="3" t="n">
        <v>8</v>
      </c>
      <c r="D240" s="4" t="s">
        <v>400</v>
      </c>
    </row>
    <row r="241" customFormat="false" ht="15" hidden="false" customHeight="true" outlineLevel="0" collapsed="false">
      <c r="A241" s="2" t="s">
        <v>402</v>
      </c>
      <c r="B241" s="3" t="n">
        <v>1</v>
      </c>
      <c r="C241" s="3" t="n">
        <v>8</v>
      </c>
      <c r="D241" s="4" t="s">
        <v>400</v>
      </c>
    </row>
    <row r="242" customFormat="false" ht="15" hidden="false" customHeight="true" outlineLevel="0" collapsed="false">
      <c r="A242" s="2" t="s">
        <v>403</v>
      </c>
      <c r="B242" s="3" t="n">
        <v>1</v>
      </c>
      <c r="C242" s="3" t="n">
        <v>8</v>
      </c>
      <c r="D242" s="4" t="s">
        <v>400</v>
      </c>
    </row>
    <row r="243" customFormat="false" ht="15" hidden="false" customHeight="true" outlineLevel="0" collapsed="false">
      <c r="A243" s="2" t="s">
        <v>404</v>
      </c>
      <c r="B243" s="3" t="n">
        <v>1</v>
      </c>
      <c r="C243" s="3" t="n">
        <v>8</v>
      </c>
      <c r="D243" s="4" t="s">
        <v>400</v>
      </c>
    </row>
    <row r="244" customFormat="false" ht="15" hidden="false" customHeight="true" outlineLevel="0" collapsed="false">
      <c r="A244" s="2" t="s">
        <v>405</v>
      </c>
      <c r="B244" s="3" t="n">
        <v>1</v>
      </c>
      <c r="C244" s="3" t="n">
        <v>8</v>
      </c>
      <c r="D244" s="4" t="s">
        <v>400</v>
      </c>
    </row>
    <row r="245" customFormat="false" ht="15" hidden="false" customHeight="true" outlineLevel="0" collapsed="false">
      <c r="A245" s="2" t="s">
        <v>406</v>
      </c>
      <c r="B245" s="3" t="n">
        <v>1</v>
      </c>
      <c r="C245" s="3" t="n">
        <v>8</v>
      </c>
      <c r="D245" s="4" t="s">
        <v>400</v>
      </c>
    </row>
    <row r="246" customFormat="false" ht="15" hidden="false" customHeight="true" outlineLevel="0" collapsed="false">
      <c r="A246" s="2" t="s">
        <v>407</v>
      </c>
      <c r="B246" s="3" t="n">
        <v>1</v>
      </c>
      <c r="C246" s="3" t="n">
        <v>8</v>
      </c>
      <c r="D246" s="4" t="s">
        <v>400</v>
      </c>
    </row>
    <row r="247" customFormat="false" ht="15" hidden="false" customHeight="true" outlineLevel="0" collapsed="false">
      <c r="A247" s="2" t="s">
        <v>408</v>
      </c>
      <c r="B247" s="3" t="n">
        <v>1</v>
      </c>
      <c r="C247" s="3" t="n">
        <v>8</v>
      </c>
      <c r="D247" s="4" t="s">
        <v>400</v>
      </c>
    </row>
    <row r="248" customFormat="false" ht="15" hidden="false" customHeight="true" outlineLevel="0" collapsed="false">
      <c r="A248" s="2" t="s">
        <v>409</v>
      </c>
      <c r="B248" s="3" t="n">
        <v>1</v>
      </c>
      <c r="C248" s="3" t="n">
        <v>8</v>
      </c>
      <c r="D248" s="4" t="s">
        <v>400</v>
      </c>
    </row>
    <row r="249" customFormat="false" ht="15" hidden="false" customHeight="true" outlineLevel="0" collapsed="false">
      <c r="A249" s="2" t="s">
        <v>410</v>
      </c>
      <c r="B249" s="3" t="n">
        <v>1</v>
      </c>
      <c r="C249" s="3" t="n">
        <v>8</v>
      </c>
      <c r="D249" s="4" t="s">
        <v>400</v>
      </c>
    </row>
    <row r="250" customFormat="false" ht="15" hidden="false" customHeight="true" outlineLevel="0" collapsed="false">
      <c r="A250" s="2" t="s">
        <v>411</v>
      </c>
      <c r="B250" s="3" t="n">
        <v>1</v>
      </c>
      <c r="C250" s="3" t="n">
        <v>8</v>
      </c>
      <c r="D250" s="4" t="s">
        <v>400</v>
      </c>
    </row>
    <row r="251" customFormat="false" ht="15" hidden="false" customHeight="true" outlineLevel="0" collapsed="false">
      <c r="A251" s="2" t="s">
        <v>412</v>
      </c>
      <c r="B251" s="3" t="n">
        <v>1</v>
      </c>
      <c r="C251" s="3" t="n">
        <v>8</v>
      </c>
      <c r="D251" s="4" t="s">
        <v>400</v>
      </c>
    </row>
    <row r="252" customFormat="false" ht="15" hidden="false" customHeight="true" outlineLevel="0" collapsed="false">
      <c r="A252" s="2" t="s">
        <v>413</v>
      </c>
      <c r="B252" s="3" t="n">
        <v>1</v>
      </c>
      <c r="C252" s="3" t="n">
        <v>8</v>
      </c>
      <c r="D252" s="4" t="s">
        <v>400</v>
      </c>
    </row>
    <row r="253" customFormat="false" ht="15" hidden="false" customHeight="true" outlineLevel="0" collapsed="false">
      <c r="A253" s="2" t="s">
        <v>414</v>
      </c>
      <c r="B253" s="3" t="n">
        <v>1</v>
      </c>
      <c r="C253" s="3" t="n">
        <v>8</v>
      </c>
      <c r="D253" s="4" t="s">
        <v>400</v>
      </c>
    </row>
    <row r="254" customFormat="false" ht="15" hidden="false" customHeight="true" outlineLevel="0" collapsed="false">
      <c r="A254" s="2" t="s">
        <v>415</v>
      </c>
      <c r="B254" s="3" t="n">
        <v>1</v>
      </c>
      <c r="C254" s="3" t="n">
        <v>8</v>
      </c>
      <c r="D254" s="4" t="s">
        <v>400</v>
      </c>
    </row>
    <row r="255" customFormat="false" ht="15" hidden="false" customHeight="true" outlineLevel="0" collapsed="false">
      <c r="A255" s="2" t="s">
        <v>416</v>
      </c>
      <c r="B255" s="3" t="n">
        <v>1</v>
      </c>
      <c r="C255" s="3" t="n">
        <v>8</v>
      </c>
      <c r="D255" s="4" t="s">
        <v>400</v>
      </c>
    </row>
    <row r="256" customFormat="false" ht="15" hidden="false" customHeight="true" outlineLevel="0" collapsed="false">
      <c r="A256" s="2" t="s">
        <v>417</v>
      </c>
      <c r="B256" s="3" t="n">
        <v>1</v>
      </c>
      <c r="C256" s="3" t="n">
        <v>8</v>
      </c>
      <c r="D256" s="4" t="s">
        <v>400</v>
      </c>
    </row>
    <row r="257" customFormat="false" ht="15" hidden="false" customHeight="true" outlineLevel="0" collapsed="false">
      <c r="A257" s="2" t="s">
        <v>418</v>
      </c>
      <c r="B257" s="3" t="n">
        <v>1</v>
      </c>
      <c r="C257" s="3" t="n">
        <v>8</v>
      </c>
      <c r="D257" s="4" t="s">
        <v>400</v>
      </c>
    </row>
    <row r="258" customFormat="false" ht="15" hidden="false" customHeight="true" outlineLevel="0" collapsed="false">
      <c r="A258" s="2" t="s">
        <v>419</v>
      </c>
      <c r="B258" s="3" t="n">
        <v>1</v>
      </c>
      <c r="C258" s="3" t="n">
        <v>8</v>
      </c>
      <c r="D258" s="4" t="s">
        <v>400</v>
      </c>
    </row>
    <row r="259" customFormat="false" ht="15" hidden="false" customHeight="true" outlineLevel="0" collapsed="false">
      <c r="A259" s="2" t="s">
        <v>420</v>
      </c>
      <c r="B259" s="3" t="n">
        <v>1</v>
      </c>
      <c r="C259" s="3" t="n">
        <v>8</v>
      </c>
      <c r="D259" s="4" t="s">
        <v>400</v>
      </c>
    </row>
    <row r="260" customFormat="false" ht="15" hidden="false" customHeight="true" outlineLevel="0" collapsed="false">
      <c r="A260" s="2" t="s">
        <v>421</v>
      </c>
      <c r="B260" s="3" t="n">
        <v>1</v>
      </c>
      <c r="C260" s="3" t="n">
        <v>8</v>
      </c>
      <c r="D260" s="4" t="s">
        <v>422</v>
      </c>
    </row>
    <row r="261" customFormat="false" ht="15" hidden="false" customHeight="true" outlineLevel="0" collapsed="false">
      <c r="A261" s="2" t="s">
        <v>423</v>
      </c>
      <c r="B261" s="3" t="n">
        <v>1</v>
      </c>
      <c r="C261" s="3" t="n">
        <v>8</v>
      </c>
      <c r="D261" s="4" t="s">
        <v>422</v>
      </c>
    </row>
    <row r="262" customFormat="false" ht="15" hidden="false" customHeight="true" outlineLevel="0" collapsed="false">
      <c r="A262" s="2" t="s">
        <v>424</v>
      </c>
      <c r="B262" s="3" t="n">
        <v>1</v>
      </c>
      <c r="C262" s="3" t="n">
        <v>8</v>
      </c>
      <c r="D262" s="4" t="s">
        <v>422</v>
      </c>
    </row>
    <row r="263" customFormat="false" ht="15" hidden="false" customHeight="true" outlineLevel="0" collapsed="false">
      <c r="A263" s="2" t="s">
        <v>425</v>
      </c>
      <c r="B263" s="3" t="n">
        <v>1</v>
      </c>
      <c r="C263" s="3" t="n">
        <v>8</v>
      </c>
      <c r="D263" s="4" t="s">
        <v>422</v>
      </c>
    </row>
    <row r="264" customFormat="false" ht="15" hidden="false" customHeight="true" outlineLevel="0" collapsed="false">
      <c r="A264" s="2" t="s">
        <v>426</v>
      </c>
      <c r="B264" s="3" t="n">
        <v>1</v>
      </c>
      <c r="C264" s="3" t="n">
        <v>8</v>
      </c>
      <c r="D264" s="4" t="s">
        <v>422</v>
      </c>
    </row>
    <row r="265" customFormat="false" ht="15" hidden="false" customHeight="true" outlineLevel="0" collapsed="false">
      <c r="A265" s="2" t="s">
        <v>427</v>
      </c>
      <c r="B265" s="3" t="n">
        <v>1</v>
      </c>
      <c r="C265" s="3" t="n">
        <v>8</v>
      </c>
      <c r="D265" s="4" t="s">
        <v>422</v>
      </c>
    </row>
    <row r="266" customFormat="false" ht="15" hidden="false" customHeight="true" outlineLevel="0" collapsed="false">
      <c r="A266" s="2" t="s">
        <v>428</v>
      </c>
      <c r="B266" s="3" t="n">
        <v>1</v>
      </c>
      <c r="C266" s="3" t="n">
        <v>8</v>
      </c>
      <c r="D266" s="4" t="s">
        <v>422</v>
      </c>
    </row>
    <row r="267" customFormat="false" ht="15" hidden="false" customHeight="true" outlineLevel="0" collapsed="false">
      <c r="A267" s="2" t="s">
        <v>429</v>
      </c>
      <c r="B267" s="3" t="n">
        <v>1</v>
      </c>
      <c r="C267" s="3" t="n">
        <v>8</v>
      </c>
      <c r="D267" s="4" t="s">
        <v>422</v>
      </c>
    </row>
    <row r="268" customFormat="false" ht="15" hidden="false" customHeight="true" outlineLevel="0" collapsed="false">
      <c r="A268" s="2" t="s">
        <v>430</v>
      </c>
      <c r="B268" s="3" t="n">
        <v>1</v>
      </c>
      <c r="C268" s="3" t="n">
        <v>8</v>
      </c>
      <c r="D268" s="4" t="s">
        <v>422</v>
      </c>
    </row>
    <row r="269" customFormat="false" ht="15" hidden="false" customHeight="true" outlineLevel="0" collapsed="false">
      <c r="A269" s="2" t="s">
        <v>431</v>
      </c>
      <c r="B269" s="3" t="n">
        <v>1</v>
      </c>
      <c r="C269" s="3" t="n">
        <v>8</v>
      </c>
      <c r="D269" s="4" t="s">
        <v>422</v>
      </c>
    </row>
    <row r="270" customFormat="false" ht="15" hidden="false" customHeight="true" outlineLevel="0" collapsed="false">
      <c r="A270" s="2" t="s">
        <v>432</v>
      </c>
      <c r="B270" s="3" t="n">
        <v>1</v>
      </c>
      <c r="C270" s="3" t="n">
        <v>8</v>
      </c>
      <c r="D270" s="4" t="s">
        <v>422</v>
      </c>
    </row>
    <row r="271" customFormat="false" ht="15" hidden="false" customHeight="true" outlineLevel="0" collapsed="false">
      <c r="A271" s="2" t="s">
        <v>433</v>
      </c>
      <c r="B271" s="3" t="n">
        <v>1</v>
      </c>
      <c r="C271" s="3" t="n">
        <v>8</v>
      </c>
      <c r="D271" s="4" t="s">
        <v>422</v>
      </c>
    </row>
    <row r="272" customFormat="false" ht="15" hidden="false" customHeight="true" outlineLevel="0" collapsed="false">
      <c r="A272" s="2" t="s">
        <v>434</v>
      </c>
      <c r="B272" s="3" t="n">
        <v>1</v>
      </c>
      <c r="C272" s="3" t="n">
        <v>8</v>
      </c>
      <c r="D272" s="4" t="s">
        <v>422</v>
      </c>
    </row>
    <row r="273" customFormat="false" ht="15" hidden="false" customHeight="true" outlineLevel="0" collapsed="false">
      <c r="A273" s="2" t="s">
        <v>435</v>
      </c>
      <c r="B273" s="3" t="n">
        <v>1</v>
      </c>
      <c r="C273" s="3" t="n">
        <v>8</v>
      </c>
      <c r="D273" s="4" t="s">
        <v>422</v>
      </c>
    </row>
    <row r="274" customFormat="false" ht="15" hidden="false" customHeight="true" outlineLevel="0" collapsed="false">
      <c r="A274" s="2" t="s">
        <v>436</v>
      </c>
      <c r="B274" s="3" t="n">
        <v>1</v>
      </c>
      <c r="C274" s="3" t="n">
        <v>8</v>
      </c>
      <c r="D274" s="4" t="s">
        <v>422</v>
      </c>
    </row>
    <row r="275" customFormat="false" ht="15" hidden="false" customHeight="true" outlineLevel="0" collapsed="false">
      <c r="A275" s="2" t="s">
        <v>437</v>
      </c>
      <c r="B275" s="3" t="n">
        <v>1</v>
      </c>
      <c r="C275" s="3" t="n">
        <v>8</v>
      </c>
      <c r="D275" s="4" t="s">
        <v>422</v>
      </c>
    </row>
    <row r="276" customFormat="false" ht="15" hidden="false" customHeight="true" outlineLevel="0" collapsed="false">
      <c r="A276" s="2" t="s">
        <v>438</v>
      </c>
      <c r="B276" s="3" t="n">
        <v>1</v>
      </c>
      <c r="C276" s="3" t="n">
        <v>8</v>
      </c>
      <c r="D276" s="4" t="s">
        <v>422</v>
      </c>
    </row>
    <row r="277" customFormat="false" ht="15" hidden="false" customHeight="true" outlineLevel="0" collapsed="false">
      <c r="A277" s="2" t="s">
        <v>439</v>
      </c>
      <c r="B277" s="3" t="n">
        <v>1</v>
      </c>
      <c r="C277" s="3" t="n">
        <v>6</v>
      </c>
      <c r="D277" s="4" t="s">
        <v>440</v>
      </c>
    </row>
    <row r="278" customFormat="false" ht="15" hidden="false" customHeight="true" outlineLevel="0" collapsed="false">
      <c r="A278" s="2" t="s">
        <v>441</v>
      </c>
      <c r="B278" s="3" t="n">
        <v>1</v>
      </c>
      <c r="C278" s="3" t="n">
        <v>6</v>
      </c>
      <c r="D278" s="4" t="s">
        <v>440</v>
      </c>
    </row>
    <row r="279" customFormat="false" ht="15" hidden="false" customHeight="true" outlineLevel="0" collapsed="false">
      <c r="A279" s="2" t="s">
        <v>442</v>
      </c>
      <c r="B279" s="3" t="n">
        <v>1</v>
      </c>
      <c r="C279" s="3" t="n">
        <v>6</v>
      </c>
      <c r="D279" s="4" t="s">
        <v>440</v>
      </c>
    </row>
    <row r="280" customFormat="false" ht="15" hidden="false" customHeight="true" outlineLevel="0" collapsed="false">
      <c r="A280" s="2" t="s">
        <v>443</v>
      </c>
      <c r="B280" s="3" t="n">
        <v>1</v>
      </c>
      <c r="C280" s="3" t="n">
        <v>6</v>
      </c>
      <c r="D280" s="4" t="s">
        <v>440</v>
      </c>
    </row>
    <row r="281" customFormat="false" ht="15" hidden="false" customHeight="true" outlineLevel="0" collapsed="false">
      <c r="A281" s="2" t="s">
        <v>444</v>
      </c>
      <c r="B281" s="3" t="n">
        <v>1</v>
      </c>
      <c r="C281" s="3" t="n">
        <v>6</v>
      </c>
      <c r="D281" s="4" t="s">
        <v>440</v>
      </c>
    </row>
    <row r="282" customFormat="false" ht="15" hidden="false" customHeight="true" outlineLevel="0" collapsed="false">
      <c r="A282" s="2" t="s">
        <v>445</v>
      </c>
      <c r="B282" s="3" t="n">
        <v>1</v>
      </c>
      <c r="C282" s="3" t="n">
        <v>6</v>
      </c>
      <c r="D282" s="4" t="s">
        <v>440</v>
      </c>
    </row>
    <row r="283" customFormat="false" ht="15" hidden="false" customHeight="true" outlineLevel="0" collapsed="false">
      <c r="A283" s="2" t="s">
        <v>446</v>
      </c>
      <c r="B283" s="3" t="n">
        <v>1</v>
      </c>
      <c r="C283" s="3" t="n">
        <v>6</v>
      </c>
      <c r="D283" s="4" t="s">
        <v>440</v>
      </c>
    </row>
    <row r="284" customFormat="false" ht="15" hidden="false" customHeight="true" outlineLevel="0" collapsed="false">
      <c r="A284" s="2" t="s">
        <v>447</v>
      </c>
      <c r="B284" s="3" t="n">
        <v>1</v>
      </c>
      <c r="C284" s="3" t="n">
        <v>6</v>
      </c>
      <c r="D284" s="4" t="s">
        <v>448</v>
      </c>
    </row>
    <row r="285" customFormat="false" ht="15" hidden="false" customHeight="true" outlineLevel="0" collapsed="false">
      <c r="A285" s="2" t="s">
        <v>449</v>
      </c>
      <c r="B285" s="3" t="n">
        <v>1</v>
      </c>
      <c r="C285" s="3" t="n">
        <v>6</v>
      </c>
      <c r="D285" s="4" t="s">
        <v>448</v>
      </c>
    </row>
    <row r="286" customFormat="false" ht="15" hidden="false" customHeight="true" outlineLevel="0" collapsed="false">
      <c r="A286" s="2" t="s">
        <v>450</v>
      </c>
      <c r="B286" s="3" t="n">
        <v>1</v>
      </c>
      <c r="C286" s="3" t="n">
        <v>6</v>
      </c>
      <c r="D286" s="4" t="s">
        <v>448</v>
      </c>
    </row>
    <row r="287" customFormat="false" ht="15" hidden="false" customHeight="true" outlineLevel="0" collapsed="false">
      <c r="A287" s="2" t="s">
        <v>451</v>
      </c>
      <c r="B287" s="3" t="n">
        <v>1</v>
      </c>
      <c r="C287" s="3" t="n">
        <v>6</v>
      </c>
      <c r="D287" s="4" t="s">
        <v>448</v>
      </c>
    </row>
    <row r="288" customFormat="false" ht="15" hidden="false" customHeight="true" outlineLevel="0" collapsed="false">
      <c r="A288" s="2" t="s">
        <v>452</v>
      </c>
      <c r="B288" s="3" t="n">
        <v>1</v>
      </c>
      <c r="C288" s="3" t="n">
        <v>6</v>
      </c>
      <c r="D288" s="4" t="s">
        <v>448</v>
      </c>
    </row>
    <row r="289" customFormat="false" ht="15" hidden="false" customHeight="true" outlineLevel="0" collapsed="false">
      <c r="A289" s="2" t="s">
        <v>453</v>
      </c>
      <c r="B289" s="3" t="n">
        <v>1</v>
      </c>
      <c r="C289" s="3" t="n">
        <v>6</v>
      </c>
      <c r="D289" s="4" t="s">
        <v>448</v>
      </c>
    </row>
    <row r="290" customFormat="false" ht="15" hidden="false" customHeight="true" outlineLevel="0" collapsed="false">
      <c r="A290" s="2" t="s">
        <v>454</v>
      </c>
      <c r="B290" s="3" t="n">
        <v>1</v>
      </c>
      <c r="C290" s="3" t="n">
        <v>6</v>
      </c>
      <c r="D290" s="4" t="s">
        <v>448</v>
      </c>
    </row>
    <row r="291" customFormat="false" ht="15" hidden="false" customHeight="true" outlineLevel="0" collapsed="false">
      <c r="A291" s="2" t="s">
        <v>455</v>
      </c>
      <c r="B291" s="3" t="n">
        <v>1</v>
      </c>
      <c r="C291" s="3" t="n">
        <v>6</v>
      </c>
      <c r="D291" s="4" t="s">
        <v>448</v>
      </c>
    </row>
    <row r="292" customFormat="false" ht="15" hidden="false" customHeight="true" outlineLevel="0" collapsed="false">
      <c r="A292" s="2" t="s">
        <v>456</v>
      </c>
      <c r="B292" s="3" t="n">
        <v>1</v>
      </c>
      <c r="C292" s="3" t="n">
        <v>4</v>
      </c>
      <c r="D292" s="4" t="s">
        <v>457</v>
      </c>
    </row>
    <row r="293" customFormat="false" ht="15" hidden="false" customHeight="true" outlineLevel="0" collapsed="false">
      <c r="A293" s="2" t="s">
        <v>458</v>
      </c>
      <c r="B293" s="3" t="n">
        <v>1</v>
      </c>
      <c r="C293" s="3" t="n">
        <v>4</v>
      </c>
      <c r="D293" s="4" t="s">
        <v>457</v>
      </c>
    </row>
    <row r="294" customFormat="false" ht="15" hidden="false" customHeight="true" outlineLevel="0" collapsed="false">
      <c r="A294" s="2" t="s">
        <v>459</v>
      </c>
      <c r="B294" s="3" t="n">
        <v>1</v>
      </c>
      <c r="C294" s="3" t="n">
        <v>4</v>
      </c>
      <c r="D294" s="4" t="s">
        <v>457</v>
      </c>
    </row>
    <row r="295" customFormat="false" ht="15" hidden="false" customHeight="true" outlineLevel="0" collapsed="false">
      <c r="A295" s="2" t="s">
        <v>460</v>
      </c>
      <c r="B295" s="3" t="n">
        <v>1</v>
      </c>
      <c r="C295" s="3" t="n">
        <v>4</v>
      </c>
      <c r="D295" s="4" t="s">
        <v>457</v>
      </c>
    </row>
    <row r="296" customFormat="false" ht="15" hidden="false" customHeight="true" outlineLevel="0" collapsed="false">
      <c r="A296" s="2" t="s">
        <v>461</v>
      </c>
      <c r="B296" s="3" t="n">
        <v>1</v>
      </c>
      <c r="C296" s="3" t="n">
        <v>4</v>
      </c>
      <c r="D296" s="4" t="s">
        <v>457</v>
      </c>
    </row>
    <row r="297" customFormat="false" ht="15" hidden="false" customHeight="true" outlineLevel="0" collapsed="false">
      <c r="A297" s="2" t="s">
        <v>462</v>
      </c>
      <c r="B297" s="3" t="n">
        <v>1</v>
      </c>
      <c r="C297" s="3" t="n">
        <v>4</v>
      </c>
      <c r="D297" s="4" t="s">
        <v>457</v>
      </c>
    </row>
    <row r="298" customFormat="false" ht="15" hidden="false" customHeight="true" outlineLevel="0" collapsed="false">
      <c r="A298" s="2" t="s">
        <v>463</v>
      </c>
      <c r="B298" s="3" t="n">
        <v>1</v>
      </c>
      <c r="C298" s="3" t="n">
        <v>4</v>
      </c>
      <c r="D298" s="4" t="s">
        <v>457</v>
      </c>
    </row>
    <row r="299" customFormat="false" ht="15" hidden="false" customHeight="true" outlineLevel="0" collapsed="false">
      <c r="A299" s="2" t="s">
        <v>464</v>
      </c>
      <c r="B299" s="3" t="n">
        <v>1</v>
      </c>
      <c r="C299" s="3" t="n">
        <v>4</v>
      </c>
      <c r="D299" s="4" t="s">
        <v>457</v>
      </c>
    </row>
    <row r="300" customFormat="false" ht="15" hidden="false" customHeight="true" outlineLevel="0" collapsed="false">
      <c r="A300" s="2" t="s">
        <v>465</v>
      </c>
      <c r="B300" s="3" t="n">
        <v>1</v>
      </c>
      <c r="C300" s="3" t="n">
        <v>4</v>
      </c>
      <c r="D300" s="4" t="s">
        <v>457</v>
      </c>
    </row>
    <row r="301" customFormat="false" ht="15" hidden="false" customHeight="true" outlineLevel="0" collapsed="false">
      <c r="A301" s="2" t="s">
        <v>466</v>
      </c>
      <c r="B301" s="3" t="n">
        <v>1</v>
      </c>
      <c r="C301" s="3" t="n">
        <v>4</v>
      </c>
      <c r="D301" s="4" t="s">
        <v>457</v>
      </c>
    </row>
    <row r="302" customFormat="false" ht="15" hidden="false" customHeight="true" outlineLevel="0" collapsed="false">
      <c r="A302" s="2" t="s">
        <v>467</v>
      </c>
      <c r="B302" s="3" t="n">
        <v>1</v>
      </c>
      <c r="C302" s="3" t="n">
        <v>4</v>
      </c>
      <c r="D302" s="4" t="s">
        <v>457</v>
      </c>
    </row>
    <row r="303" customFormat="false" ht="15" hidden="false" customHeight="true" outlineLevel="0" collapsed="false">
      <c r="A303" s="2" t="s">
        <v>468</v>
      </c>
      <c r="B303" s="3" t="n">
        <v>1</v>
      </c>
      <c r="C303" s="3" t="n">
        <v>4</v>
      </c>
      <c r="D303" s="4" t="s">
        <v>457</v>
      </c>
    </row>
    <row r="304" customFormat="false" ht="15" hidden="false" customHeight="true" outlineLevel="0" collapsed="false">
      <c r="A304" s="2" t="s">
        <v>469</v>
      </c>
      <c r="B304" s="3" t="n">
        <v>1</v>
      </c>
      <c r="C304" s="3" t="n">
        <v>4</v>
      </c>
      <c r="D304" s="4" t="s">
        <v>457</v>
      </c>
    </row>
    <row r="305" customFormat="false" ht="15" hidden="false" customHeight="true" outlineLevel="0" collapsed="false">
      <c r="A305" s="2" t="s">
        <v>470</v>
      </c>
      <c r="B305" s="3" t="n">
        <v>1</v>
      </c>
      <c r="C305" s="3" t="n">
        <v>4</v>
      </c>
      <c r="D305" s="4" t="s">
        <v>457</v>
      </c>
    </row>
    <row r="306" customFormat="false" ht="15" hidden="false" customHeight="true" outlineLevel="0" collapsed="false">
      <c r="A306" s="2" t="s">
        <v>471</v>
      </c>
      <c r="B306" s="3" t="n">
        <v>1</v>
      </c>
      <c r="C306" s="3" t="n">
        <v>4</v>
      </c>
      <c r="D306" s="4" t="s">
        <v>457</v>
      </c>
    </row>
    <row r="307" customFormat="false" ht="15" hidden="false" customHeight="true" outlineLevel="0" collapsed="false">
      <c r="A307" s="2" t="s">
        <v>472</v>
      </c>
      <c r="B307" s="3" t="n">
        <v>1</v>
      </c>
      <c r="C307" s="3" t="n">
        <v>4</v>
      </c>
      <c r="D307" s="4" t="s">
        <v>457</v>
      </c>
    </row>
    <row r="308" customFormat="false" ht="15" hidden="false" customHeight="true" outlineLevel="0" collapsed="false">
      <c r="A308" s="2" t="s">
        <v>473</v>
      </c>
      <c r="B308" s="3" t="n">
        <v>1</v>
      </c>
      <c r="C308" s="3" t="n">
        <v>4</v>
      </c>
      <c r="D308" s="4" t="s">
        <v>457</v>
      </c>
    </row>
    <row r="309" customFormat="false" ht="15" hidden="false" customHeight="true" outlineLevel="0" collapsed="false">
      <c r="A309" s="2" t="s">
        <v>474</v>
      </c>
      <c r="B309" s="3" t="n">
        <v>1</v>
      </c>
      <c r="C309" s="3" t="n">
        <v>4</v>
      </c>
      <c r="D309" s="4" t="s">
        <v>457</v>
      </c>
    </row>
    <row r="310" customFormat="false" ht="15" hidden="false" customHeight="true" outlineLevel="0" collapsed="false">
      <c r="A310" s="2" t="s">
        <v>475</v>
      </c>
      <c r="B310" s="3" t="n">
        <v>1</v>
      </c>
      <c r="C310" s="3" t="n">
        <v>4</v>
      </c>
      <c r="D310" s="4" t="s">
        <v>457</v>
      </c>
    </row>
    <row r="311" customFormat="false" ht="15" hidden="false" customHeight="true" outlineLevel="0" collapsed="false">
      <c r="A311" s="2" t="s">
        <v>476</v>
      </c>
      <c r="B311" s="3" t="n">
        <v>1</v>
      </c>
      <c r="C311" s="3" t="n">
        <v>4</v>
      </c>
      <c r="D311" s="4" t="s">
        <v>457</v>
      </c>
    </row>
    <row r="312" customFormat="false" ht="15" hidden="false" customHeight="true" outlineLevel="0" collapsed="false">
      <c r="A312" s="2" t="s">
        <v>477</v>
      </c>
      <c r="B312" s="3" t="n">
        <v>1</v>
      </c>
      <c r="C312" s="3" t="n">
        <v>4</v>
      </c>
      <c r="D312" s="4" t="s">
        <v>457</v>
      </c>
    </row>
    <row r="313" customFormat="false" ht="15" hidden="false" customHeight="true" outlineLevel="0" collapsed="false">
      <c r="A313" s="2" t="s">
        <v>478</v>
      </c>
      <c r="B313" s="3" t="n">
        <v>1</v>
      </c>
      <c r="C313" s="3" t="n">
        <v>4</v>
      </c>
      <c r="D313" s="4" t="s">
        <v>479</v>
      </c>
    </row>
    <row r="314" customFormat="false" ht="15" hidden="false" customHeight="true" outlineLevel="0" collapsed="false">
      <c r="A314" s="2" t="s">
        <v>480</v>
      </c>
      <c r="B314" s="3" t="n">
        <v>1</v>
      </c>
      <c r="C314" s="3" t="n">
        <v>4</v>
      </c>
      <c r="D314" s="4" t="s">
        <v>479</v>
      </c>
    </row>
    <row r="315" customFormat="false" ht="15" hidden="false" customHeight="true" outlineLevel="0" collapsed="false">
      <c r="A315" s="2" t="s">
        <v>481</v>
      </c>
      <c r="B315" s="3" t="n">
        <v>1</v>
      </c>
      <c r="C315" s="3" t="n">
        <v>4</v>
      </c>
      <c r="D315" s="4" t="s">
        <v>479</v>
      </c>
    </row>
    <row r="316" customFormat="false" ht="15" hidden="false" customHeight="true" outlineLevel="0" collapsed="false">
      <c r="A316" s="2" t="s">
        <v>482</v>
      </c>
      <c r="B316" s="3" t="n">
        <v>1</v>
      </c>
      <c r="C316" s="3" t="n">
        <v>4</v>
      </c>
      <c r="D316" s="4" t="s">
        <v>479</v>
      </c>
    </row>
    <row r="317" customFormat="false" ht="15" hidden="false" customHeight="true" outlineLevel="0" collapsed="false">
      <c r="A317" s="2" t="s">
        <v>483</v>
      </c>
      <c r="B317" s="3" t="n">
        <v>1</v>
      </c>
      <c r="C317" s="3" t="n">
        <v>4</v>
      </c>
      <c r="D317" s="4" t="s">
        <v>479</v>
      </c>
    </row>
    <row r="318" customFormat="false" ht="15" hidden="false" customHeight="true" outlineLevel="0" collapsed="false">
      <c r="A318" s="2" t="s">
        <v>484</v>
      </c>
      <c r="B318" s="3" t="n">
        <v>1</v>
      </c>
      <c r="C318" s="3" t="n">
        <v>4</v>
      </c>
      <c r="D318" s="4" t="s">
        <v>479</v>
      </c>
    </row>
    <row r="319" customFormat="false" ht="15" hidden="false" customHeight="true" outlineLevel="0" collapsed="false">
      <c r="A319" s="2" t="s">
        <v>485</v>
      </c>
      <c r="B319" s="3" t="n">
        <v>1</v>
      </c>
      <c r="C319" s="3" t="n">
        <v>4</v>
      </c>
      <c r="D319" s="4" t="s">
        <v>479</v>
      </c>
    </row>
    <row r="320" customFormat="false" ht="15" hidden="false" customHeight="true" outlineLevel="0" collapsed="false">
      <c r="A320" s="2" t="s">
        <v>486</v>
      </c>
      <c r="B320" s="3" t="n">
        <v>1</v>
      </c>
      <c r="C320" s="3" t="n">
        <v>4</v>
      </c>
      <c r="D320" s="4" t="s">
        <v>479</v>
      </c>
    </row>
    <row r="321" customFormat="false" ht="15" hidden="false" customHeight="true" outlineLevel="0" collapsed="false">
      <c r="A321" s="2" t="s">
        <v>487</v>
      </c>
      <c r="B321" s="3" t="n">
        <v>1</v>
      </c>
      <c r="C321" s="3" t="n">
        <v>4</v>
      </c>
      <c r="D321" s="4" t="s">
        <v>479</v>
      </c>
    </row>
    <row r="322" customFormat="false" ht="15" hidden="false" customHeight="true" outlineLevel="0" collapsed="false">
      <c r="A322" s="2" t="s">
        <v>488</v>
      </c>
      <c r="B322" s="3" t="n">
        <v>1</v>
      </c>
      <c r="C322" s="3" t="n">
        <v>4</v>
      </c>
      <c r="D322" s="4" t="s">
        <v>479</v>
      </c>
    </row>
    <row r="323" customFormat="false" ht="15" hidden="false" customHeight="true" outlineLevel="0" collapsed="false">
      <c r="A323" s="2" t="s">
        <v>489</v>
      </c>
      <c r="B323" s="3" t="n">
        <v>1</v>
      </c>
      <c r="C323" s="3" t="n">
        <v>4</v>
      </c>
      <c r="D323" s="4" t="s">
        <v>479</v>
      </c>
    </row>
    <row r="324" customFormat="false" ht="15" hidden="false" customHeight="true" outlineLevel="0" collapsed="false">
      <c r="A324" s="2" t="s">
        <v>490</v>
      </c>
      <c r="B324" s="3" t="n">
        <v>1</v>
      </c>
      <c r="C324" s="3" t="n">
        <v>4</v>
      </c>
      <c r="D324" s="4" t="s">
        <v>479</v>
      </c>
    </row>
    <row r="325" customFormat="false" ht="15" hidden="false" customHeight="true" outlineLevel="0" collapsed="false">
      <c r="A325" s="2" t="s">
        <v>491</v>
      </c>
      <c r="B325" s="3" t="n">
        <v>1</v>
      </c>
      <c r="C325" s="3" t="n">
        <v>4</v>
      </c>
      <c r="D325" s="4" t="s">
        <v>479</v>
      </c>
    </row>
    <row r="326" customFormat="false" ht="15" hidden="false" customHeight="true" outlineLevel="0" collapsed="false">
      <c r="A326" s="2" t="s">
        <v>492</v>
      </c>
      <c r="B326" s="3" t="n">
        <v>1</v>
      </c>
      <c r="C326" s="3" t="n">
        <v>4</v>
      </c>
      <c r="D326" s="4" t="s">
        <v>479</v>
      </c>
    </row>
    <row r="327" customFormat="false" ht="15" hidden="false" customHeight="true" outlineLevel="0" collapsed="false">
      <c r="A327" s="2" t="s">
        <v>493</v>
      </c>
      <c r="B327" s="3" t="n">
        <v>1</v>
      </c>
      <c r="C327" s="3" t="n">
        <v>4</v>
      </c>
      <c r="D327" s="4" t="s">
        <v>479</v>
      </c>
    </row>
    <row r="328" customFormat="false" ht="15" hidden="false" customHeight="true" outlineLevel="0" collapsed="false">
      <c r="A328" s="2" t="s">
        <v>494</v>
      </c>
      <c r="B328" s="3" t="n">
        <v>1</v>
      </c>
      <c r="C328" s="3" t="n">
        <v>4</v>
      </c>
      <c r="D328" s="4" t="s">
        <v>479</v>
      </c>
    </row>
    <row r="329" customFormat="false" ht="15" hidden="false" customHeight="true" outlineLevel="0" collapsed="false">
      <c r="A329" s="2" t="s">
        <v>495</v>
      </c>
      <c r="B329" s="3" t="n">
        <v>1</v>
      </c>
      <c r="C329" s="3" t="n">
        <v>4</v>
      </c>
      <c r="D329" s="4" t="s">
        <v>479</v>
      </c>
    </row>
    <row r="330" customFormat="false" ht="15" hidden="false" customHeight="true" outlineLevel="0" collapsed="false">
      <c r="A330" s="2" t="s">
        <v>496</v>
      </c>
      <c r="B330" s="3" t="n">
        <v>1</v>
      </c>
      <c r="C330" s="3" t="n">
        <v>4</v>
      </c>
      <c r="D330" s="4" t="s">
        <v>479</v>
      </c>
    </row>
    <row r="331" customFormat="false" ht="15" hidden="false" customHeight="true" outlineLevel="0" collapsed="false">
      <c r="A331" s="2" t="s">
        <v>497</v>
      </c>
      <c r="B331" s="3" t="n">
        <v>1</v>
      </c>
      <c r="C331" s="3" t="n">
        <v>4</v>
      </c>
      <c r="D331" s="4" t="s">
        <v>479</v>
      </c>
    </row>
    <row r="332" customFormat="false" ht="15" hidden="false" customHeight="true" outlineLevel="0" collapsed="false">
      <c r="A332" s="2" t="s">
        <v>498</v>
      </c>
      <c r="B332" s="3" t="n">
        <v>1</v>
      </c>
      <c r="C332" s="3" t="n">
        <v>1</v>
      </c>
      <c r="D332" s="4" t="s">
        <v>499</v>
      </c>
    </row>
    <row r="333" customFormat="false" ht="15" hidden="false" customHeight="true" outlineLevel="0" collapsed="false">
      <c r="A333" s="2" t="s">
        <v>500</v>
      </c>
      <c r="B333" s="3" t="n">
        <v>1</v>
      </c>
      <c r="C333" s="3" t="n">
        <v>1</v>
      </c>
      <c r="D333" s="4" t="s">
        <v>499</v>
      </c>
    </row>
    <row r="334" customFormat="false" ht="15" hidden="false" customHeight="true" outlineLevel="0" collapsed="false">
      <c r="A334" s="2" t="s">
        <v>501</v>
      </c>
      <c r="B334" s="3" t="n">
        <v>1</v>
      </c>
      <c r="C334" s="3" t="n">
        <v>1</v>
      </c>
      <c r="D334" s="4" t="s">
        <v>499</v>
      </c>
    </row>
    <row r="335" customFormat="false" ht="15" hidden="false" customHeight="true" outlineLevel="0" collapsed="false">
      <c r="A335" s="2" t="s">
        <v>502</v>
      </c>
      <c r="B335" s="3" t="n">
        <v>1</v>
      </c>
      <c r="C335" s="3" t="n">
        <v>1</v>
      </c>
      <c r="D335" s="4" t="s">
        <v>503</v>
      </c>
    </row>
    <row r="336" customFormat="false" ht="15" hidden="false" customHeight="true" outlineLevel="0" collapsed="false">
      <c r="A336" s="2" t="s">
        <v>504</v>
      </c>
      <c r="B336" s="3" t="n">
        <v>1</v>
      </c>
      <c r="C336" s="3" t="n">
        <v>1</v>
      </c>
      <c r="D336" s="4" t="s">
        <v>503</v>
      </c>
    </row>
    <row r="337" customFormat="false" ht="15" hidden="false" customHeight="true" outlineLevel="0" collapsed="false">
      <c r="A337" s="2" t="s">
        <v>505</v>
      </c>
      <c r="B337" s="3" t="n">
        <v>1</v>
      </c>
      <c r="C337" s="3" t="n">
        <v>1</v>
      </c>
      <c r="D337" s="4" t="s">
        <v>503</v>
      </c>
    </row>
    <row r="338" customFormat="false" ht="15" hidden="false" customHeight="true" outlineLevel="0" collapsed="false">
      <c r="A338" s="2" t="s">
        <v>506</v>
      </c>
      <c r="B338" s="3" t="n">
        <v>1</v>
      </c>
      <c r="C338" s="3" t="n">
        <v>1</v>
      </c>
      <c r="D338" s="4" t="s">
        <v>503</v>
      </c>
    </row>
    <row r="339" customFormat="false" ht="15" hidden="false" customHeight="true" outlineLevel="0" collapsed="false">
      <c r="A339" s="2" t="s">
        <v>507</v>
      </c>
      <c r="B339" s="3" t="n">
        <v>1</v>
      </c>
      <c r="C339" s="3" t="n">
        <v>1</v>
      </c>
      <c r="D339" s="4" t="s">
        <v>503</v>
      </c>
    </row>
    <row r="340" customFormat="false" ht="15" hidden="false" customHeight="true" outlineLevel="0" collapsed="false">
      <c r="A340" s="2" t="s">
        <v>508</v>
      </c>
      <c r="B340" s="3" t="n">
        <v>1</v>
      </c>
      <c r="C340" s="3" t="n">
        <v>1</v>
      </c>
      <c r="D340" s="4" t="s">
        <v>503</v>
      </c>
    </row>
    <row r="341" customFormat="false" ht="15" hidden="false" customHeight="true" outlineLevel="0" collapsed="false">
      <c r="A341" s="2" t="s">
        <v>509</v>
      </c>
      <c r="B341" s="3" t="n">
        <v>1</v>
      </c>
      <c r="C341" s="3" t="n">
        <v>1</v>
      </c>
      <c r="D341" s="4" t="s">
        <v>503</v>
      </c>
    </row>
    <row r="342" customFormat="false" ht="15" hidden="false" customHeight="true" outlineLevel="0" collapsed="false">
      <c r="A342" s="2" t="s">
        <v>510</v>
      </c>
      <c r="B342" s="3" t="n">
        <v>1</v>
      </c>
      <c r="C342" s="3" t="n">
        <v>1</v>
      </c>
      <c r="D342" s="4" t="s">
        <v>503</v>
      </c>
    </row>
    <row r="343" customFormat="false" ht="15" hidden="false" customHeight="true" outlineLevel="0" collapsed="false">
      <c r="A343" s="2" t="s">
        <v>511</v>
      </c>
      <c r="B343" s="3" t="n">
        <v>1</v>
      </c>
      <c r="C343" s="3" t="n">
        <v>1</v>
      </c>
      <c r="D343" s="4" t="s">
        <v>503</v>
      </c>
    </row>
    <row r="344" customFormat="false" ht="15" hidden="false" customHeight="true" outlineLevel="0" collapsed="false">
      <c r="A344" s="2" t="s">
        <v>512</v>
      </c>
      <c r="B344" s="3" t="n">
        <v>1</v>
      </c>
      <c r="C344" s="3" t="n">
        <v>1</v>
      </c>
      <c r="D344" s="4" t="s">
        <v>503</v>
      </c>
    </row>
    <row r="345" customFormat="false" ht="15" hidden="false" customHeight="true" outlineLevel="0" collapsed="false">
      <c r="A345" s="2" t="s">
        <v>513</v>
      </c>
      <c r="B345" s="3" t="n">
        <v>1</v>
      </c>
      <c r="C345" s="3" t="n">
        <v>2</v>
      </c>
      <c r="D345" s="4" t="s">
        <v>514</v>
      </c>
    </row>
    <row r="346" customFormat="false" ht="15" hidden="false" customHeight="true" outlineLevel="0" collapsed="false">
      <c r="A346" s="2" t="s">
        <v>515</v>
      </c>
      <c r="B346" s="3" t="n">
        <v>1</v>
      </c>
      <c r="C346" s="3" t="n">
        <v>2</v>
      </c>
      <c r="D346" s="4" t="s">
        <v>514</v>
      </c>
    </row>
    <row r="347" customFormat="false" ht="15" hidden="false" customHeight="true" outlineLevel="0" collapsed="false">
      <c r="A347" s="2" t="s">
        <v>516</v>
      </c>
      <c r="B347" s="3" t="n">
        <v>1</v>
      </c>
      <c r="C347" s="3" t="n">
        <v>2</v>
      </c>
      <c r="D347" s="4" t="s">
        <v>514</v>
      </c>
    </row>
    <row r="348" customFormat="false" ht="15" hidden="false" customHeight="true" outlineLevel="0" collapsed="false">
      <c r="A348" s="2" t="s">
        <v>517</v>
      </c>
      <c r="B348" s="3" t="n">
        <v>1</v>
      </c>
      <c r="C348" s="3" t="n">
        <v>2</v>
      </c>
      <c r="D348" s="4" t="s">
        <v>514</v>
      </c>
    </row>
    <row r="349" customFormat="false" ht="15" hidden="false" customHeight="true" outlineLevel="0" collapsed="false">
      <c r="A349" s="2" t="s">
        <v>518</v>
      </c>
      <c r="B349" s="3" t="n">
        <v>1</v>
      </c>
      <c r="C349" s="3" t="n">
        <v>2</v>
      </c>
      <c r="D349" s="4" t="s">
        <v>514</v>
      </c>
    </row>
    <row r="350" customFormat="false" ht="15" hidden="false" customHeight="true" outlineLevel="0" collapsed="false">
      <c r="A350" s="2" t="s">
        <v>519</v>
      </c>
      <c r="B350" s="3" t="n">
        <v>1</v>
      </c>
      <c r="C350" s="3" t="n">
        <v>2</v>
      </c>
      <c r="D350" s="4" t="s">
        <v>514</v>
      </c>
    </row>
    <row r="351" customFormat="false" ht="15" hidden="false" customHeight="true" outlineLevel="0" collapsed="false">
      <c r="A351" s="2" t="s">
        <v>520</v>
      </c>
      <c r="B351" s="3" t="n">
        <v>1</v>
      </c>
      <c r="C351" s="3" t="n">
        <v>2</v>
      </c>
      <c r="D351" s="4" t="s">
        <v>514</v>
      </c>
    </row>
    <row r="352" customFormat="false" ht="15" hidden="false" customHeight="true" outlineLevel="0" collapsed="false">
      <c r="A352" s="2" t="s">
        <v>521</v>
      </c>
      <c r="B352" s="3" t="n">
        <v>1</v>
      </c>
      <c r="C352" s="3" t="n">
        <v>2</v>
      </c>
      <c r="D352" s="4" t="s">
        <v>514</v>
      </c>
    </row>
    <row r="353" customFormat="false" ht="15" hidden="false" customHeight="true" outlineLevel="0" collapsed="false">
      <c r="A353" s="2" t="s">
        <v>522</v>
      </c>
      <c r="B353" s="3" t="n">
        <v>1</v>
      </c>
      <c r="C353" s="3" t="n">
        <v>5</v>
      </c>
      <c r="D353" s="4" t="s">
        <v>523</v>
      </c>
    </row>
    <row r="354" customFormat="false" ht="15" hidden="false" customHeight="true" outlineLevel="0" collapsed="false">
      <c r="A354" s="2" t="s">
        <v>524</v>
      </c>
      <c r="B354" s="3" t="n">
        <v>1</v>
      </c>
      <c r="C354" s="3" t="n">
        <v>5</v>
      </c>
      <c r="D354" s="4" t="s">
        <v>523</v>
      </c>
    </row>
    <row r="355" customFormat="false" ht="15" hidden="false" customHeight="true" outlineLevel="0" collapsed="false">
      <c r="A355" s="2" t="s">
        <v>525</v>
      </c>
      <c r="B355" s="3" t="n">
        <v>1</v>
      </c>
      <c r="C355" s="3" t="n">
        <v>5</v>
      </c>
      <c r="D355" s="4" t="s">
        <v>523</v>
      </c>
    </row>
    <row r="356" customFormat="false" ht="15" hidden="false" customHeight="true" outlineLevel="0" collapsed="false">
      <c r="A356" s="2" t="s">
        <v>526</v>
      </c>
      <c r="B356" s="3" t="n">
        <v>1</v>
      </c>
      <c r="C356" s="3" t="n">
        <v>5</v>
      </c>
      <c r="D356" s="4" t="s">
        <v>523</v>
      </c>
    </row>
    <row r="357" customFormat="false" ht="15" hidden="false" customHeight="true" outlineLevel="0" collapsed="false">
      <c r="A357" s="2" t="s">
        <v>527</v>
      </c>
      <c r="B357" s="3" t="n">
        <v>1</v>
      </c>
      <c r="C357" s="3" t="n">
        <v>5</v>
      </c>
      <c r="D357" s="4" t="s">
        <v>523</v>
      </c>
    </row>
    <row r="358" customFormat="false" ht="15" hidden="false" customHeight="true" outlineLevel="0" collapsed="false">
      <c r="A358" s="2" t="s">
        <v>528</v>
      </c>
      <c r="B358" s="3" t="n">
        <v>1</v>
      </c>
      <c r="C358" s="3" t="n">
        <v>5</v>
      </c>
      <c r="D358" s="4" t="s">
        <v>523</v>
      </c>
    </row>
    <row r="359" customFormat="false" ht="15" hidden="false" customHeight="true" outlineLevel="0" collapsed="false">
      <c r="A359" s="2" t="s">
        <v>529</v>
      </c>
      <c r="B359" s="3" t="n">
        <v>1</v>
      </c>
      <c r="C359" s="3" t="n">
        <v>5</v>
      </c>
      <c r="D359" s="4" t="s">
        <v>523</v>
      </c>
    </row>
    <row r="360" customFormat="false" ht="15" hidden="false" customHeight="true" outlineLevel="0" collapsed="false">
      <c r="A360" s="2" t="s">
        <v>530</v>
      </c>
      <c r="B360" s="3" t="n">
        <v>1</v>
      </c>
      <c r="C360" s="3" t="n">
        <v>5</v>
      </c>
      <c r="D360" s="4" t="s">
        <v>531</v>
      </c>
    </row>
    <row r="361" customFormat="false" ht="15" hidden="false" customHeight="true" outlineLevel="0" collapsed="false">
      <c r="A361" s="2" t="s">
        <v>532</v>
      </c>
      <c r="B361" s="3" t="n">
        <v>1</v>
      </c>
      <c r="C361" s="3" t="n">
        <v>5</v>
      </c>
      <c r="D361" s="4" t="s">
        <v>531</v>
      </c>
    </row>
    <row r="362" customFormat="false" ht="15" hidden="false" customHeight="true" outlineLevel="0" collapsed="false">
      <c r="A362" s="2" t="s">
        <v>533</v>
      </c>
      <c r="B362" s="3" t="n">
        <v>1</v>
      </c>
      <c r="C362" s="3" t="n">
        <v>5</v>
      </c>
      <c r="D362" s="4" t="s">
        <v>531</v>
      </c>
    </row>
    <row r="363" customFormat="false" ht="15" hidden="false" customHeight="true" outlineLevel="0" collapsed="false">
      <c r="A363" s="2" t="s">
        <v>534</v>
      </c>
      <c r="B363" s="3" t="n">
        <v>1</v>
      </c>
      <c r="C363" s="3" t="n">
        <v>3</v>
      </c>
      <c r="D363" s="4" t="s">
        <v>535</v>
      </c>
    </row>
    <row r="364" customFormat="false" ht="15" hidden="false" customHeight="true" outlineLevel="0" collapsed="false">
      <c r="A364" s="2" t="s">
        <v>536</v>
      </c>
      <c r="B364" s="3" t="n">
        <v>1</v>
      </c>
      <c r="C364" s="3" t="n">
        <v>3</v>
      </c>
      <c r="D364" s="4" t="s">
        <v>535</v>
      </c>
    </row>
    <row r="365" customFormat="false" ht="15" hidden="false" customHeight="true" outlineLevel="0" collapsed="false">
      <c r="A365" s="2" t="s">
        <v>537</v>
      </c>
      <c r="B365" s="3" t="n">
        <v>1</v>
      </c>
      <c r="C365" s="3" t="n">
        <v>3</v>
      </c>
      <c r="D365" s="4" t="s">
        <v>535</v>
      </c>
    </row>
    <row r="366" customFormat="false" ht="15" hidden="false" customHeight="true" outlineLevel="0" collapsed="false">
      <c r="A366" s="2" t="s">
        <v>538</v>
      </c>
      <c r="B366" s="3" t="n">
        <v>1</v>
      </c>
      <c r="C366" s="3" t="n">
        <v>3</v>
      </c>
      <c r="D366" s="4" t="s">
        <v>535</v>
      </c>
    </row>
    <row r="367" customFormat="false" ht="15" hidden="false" customHeight="true" outlineLevel="0" collapsed="false">
      <c r="A367" s="2" t="s">
        <v>539</v>
      </c>
      <c r="B367" s="3" t="n">
        <v>1</v>
      </c>
      <c r="C367" s="3" t="n">
        <v>3</v>
      </c>
      <c r="D367" s="4" t="s">
        <v>535</v>
      </c>
    </row>
    <row r="368" customFormat="false" ht="15" hidden="false" customHeight="true" outlineLevel="0" collapsed="false">
      <c r="A368" s="2" t="s">
        <v>540</v>
      </c>
      <c r="B368" s="3" t="n">
        <v>1</v>
      </c>
      <c r="C368" s="3" t="n">
        <v>10</v>
      </c>
      <c r="D368" s="4" t="s">
        <v>541</v>
      </c>
    </row>
    <row r="369" customFormat="false" ht="15" hidden="false" customHeight="true" outlineLevel="0" collapsed="false">
      <c r="A369" s="2" t="s">
        <v>542</v>
      </c>
      <c r="B369" s="3" t="n">
        <v>1</v>
      </c>
      <c r="C369" s="3" t="n">
        <v>10</v>
      </c>
      <c r="D369" s="4" t="s">
        <v>541</v>
      </c>
    </row>
    <row r="370" customFormat="false" ht="15" hidden="false" customHeight="true" outlineLevel="0" collapsed="false">
      <c r="A370" s="2" t="s">
        <v>543</v>
      </c>
      <c r="B370" s="3" t="n">
        <v>1</v>
      </c>
      <c r="C370" s="3" t="n">
        <v>10</v>
      </c>
      <c r="D370" s="4" t="s">
        <v>541</v>
      </c>
    </row>
    <row r="371" customFormat="false" ht="15" hidden="false" customHeight="true" outlineLevel="0" collapsed="false">
      <c r="A371" s="2" t="s">
        <v>544</v>
      </c>
      <c r="B371" s="3" t="n">
        <v>1</v>
      </c>
      <c r="C371" s="3" t="n">
        <v>10</v>
      </c>
      <c r="D371" s="4" t="s">
        <v>541</v>
      </c>
    </row>
    <row r="372" customFormat="false" ht="15" hidden="false" customHeight="true" outlineLevel="0" collapsed="false">
      <c r="A372" s="2" t="s">
        <v>545</v>
      </c>
      <c r="B372" s="3" t="n">
        <v>1</v>
      </c>
      <c r="C372" s="3" t="n">
        <v>10</v>
      </c>
      <c r="D372" s="4" t="s">
        <v>541</v>
      </c>
    </row>
    <row r="373" customFormat="false" ht="15" hidden="false" customHeight="true" outlineLevel="0" collapsed="false">
      <c r="A373" s="2" t="s">
        <v>546</v>
      </c>
      <c r="B373" s="3" t="n">
        <v>1</v>
      </c>
      <c r="C373" s="3" t="n">
        <v>10</v>
      </c>
      <c r="D373" s="4" t="s">
        <v>541</v>
      </c>
    </row>
    <row r="374" customFormat="false" ht="15" hidden="false" customHeight="true" outlineLevel="0" collapsed="false">
      <c r="A374" s="2" t="s">
        <v>547</v>
      </c>
      <c r="B374" s="3" t="n">
        <v>1</v>
      </c>
      <c r="C374" s="3" t="n">
        <v>10</v>
      </c>
      <c r="D374" s="4" t="s">
        <v>541</v>
      </c>
    </row>
    <row r="375" customFormat="false" ht="15" hidden="false" customHeight="true" outlineLevel="0" collapsed="false">
      <c r="A375" s="2" t="s">
        <v>548</v>
      </c>
      <c r="B375" s="3" t="n">
        <v>1</v>
      </c>
      <c r="C375" s="3" t="n">
        <v>10</v>
      </c>
      <c r="D375" s="4" t="s">
        <v>541</v>
      </c>
    </row>
    <row r="376" customFormat="false" ht="15" hidden="false" customHeight="true" outlineLevel="0" collapsed="false">
      <c r="A376" s="2" t="s">
        <v>549</v>
      </c>
      <c r="B376" s="3" t="n">
        <v>1</v>
      </c>
      <c r="C376" s="3" t="n">
        <v>10</v>
      </c>
      <c r="D376" s="4" t="s">
        <v>541</v>
      </c>
    </row>
    <row r="377" customFormat="false" ht="15" hidden="false" customHeight="true" outlineLevel="0" collapsed="false">
      <c r="A377" s="2" t="s">
        <v>550</v>
      </c>
      <c r="B377" s="3" t="n">
        <v>1</v>
      </c>
      <c r="C377" s="3" t="n">
        <v>10</v>
      </c>
      <c r="D377" s="4" t="s">
        <v>541</v>
      </c>
    </row>
    <row r="378" customFormat="false" ht="15" hidden="false" customHeight="true" outlineLevel="0" collapsed="false">
      <c r="A378" s="2" t="s">
        <v>551</v>
      </c>
      <c r="B378" s="3" t="n">
        <v>1</v>
      </c>
      <c r="C378" s="3" t="n">
        <v>10</v>
      </c>
      <c r="D378" s="4" t="s">
        <v>541</v>
      </c>
    </row>
    <row r="379" customFormat="false" ht="15" hidden="false" customHeight="true" outlineLevel="0" collapsed="false">
      <c r="A379" s="2" t="s">
        <v>552</v>
      </c>
      <c r="B379" s="3" t="n">
        <v>1</v>
      </c>
      <c r="C379" s="3" t="n">
        <v>2</v>
      </c>
      <c r="D379" s="4" t="s">
        <v>553</v>
      </c>
    </row>
    <row r="380" customFormat="false" ht="15" hidden="false" customHeight="true" outlineLevel="0" collapsed="false">
      <c r="A380" s="2" t="s">
        <v>554</v>
      </c>
      <c r="B380" s="3" t="n">
        <v>1</v>
      </c>
      <c r="C380" s="3" t="n">
        <v>2</v>
      </c>
      <c r="D380" s="4" t="s">
        <v>553</v>
      </c>
    </row>
    <row r="381" customFormat="false" ht="15" hidden="false" customHeight="true" outlineLevel="0" collapsed="false">
      <c r="A381" s="2" t="s">
        <v>555</v>
      </c>
      <c r="B381" s="3" t="n">
        <v>1</v>
      </c>
      <c r="C381" s="3" t="n">
        <v>2</v>
      </c>
      <c r="D381" s="4" t="s">
        <v>553</v>
      </c>
    </row>
    <row r="382" customFormat="false" ht="15" hidden="false" customHeight="true" outlineLevel="0" collapsed="false">
      <c r="A382" s="2" t="s">
        <v>556</v>
      </c>
      <c r="B382" s="3" t="n">
        <v>1</v>
      </c>
      <c r="C382" s="3" t="n">
        <v>2</v>
      </c>
      <c r="D382" s="4" t="s">
        <v>553</v>
      </c>
    </row>
    <row r="383" customFormat="false" ht="15" hidden="false" customHeight="true" outlineLevel="0" collapsed="false">
      <c r="A383" s="2" t="s">
        <v>557</v>
      </c>
      <c r="B383" s="3" t="n">
        <v>1</v>
      </c>
      <c r="C383" s="3" t="n">
        <v>2</v>
      </c>
      <c r="D383" s="4" t="s">
        <v>553</v>
      </c>
    </row>
    <row r="384" customFormat="false" ht="15" hidden="false" customHeight="true" outlineLevel="0" collapsed="false">
      <c r="A384" s="2" t="s">
        <v>558</v>
      </c>
      <c r="B384" s="3" t="n">
        <v>1</v>
      </c>
      <c r="C384" s="3" t="n">
        <v>2</v>
      </c>
      <c r="D384" s="4" t="s">
        <v>559</v>
      </c>
    </row>
    <row r="385" customFormat="false" ht="15" hidden="false" customHeight="true" outlineLevel="0" collapsed="false">
      <c r="A385" s="2" t="s">
        <v>560</v>
      </c>
      <c r="B385" s="3" t="n">
        <v>1</v>
      </c>
      <c r="C385" s="3" t="n">
        <v>2</v>
      </c>
      <c r="D385" s="4" t="s">
        <v>559</v>
      </c>
    </row>
    <row r="386" customFormat="false" ht="15" hidden="false" customHeight="true" outlineLevel="0" collapsed="false">
      <c r="A386" s="2" t="s">
        <v>561</v>
      </c>
      <c r="B386" s="3" t="n">
        <v>1</v>
      </c>
      <c r="C386" s="3" t="n">
        <v>2</v>
      </c>
      <c r="D386" s="4" t="s">
        <v>559</v>
      </c>
    </row>
    <row r="387" customFormat="false" ht="15" hidden="false" customHeight="true" outlineLevel="0" collapsed="false">
      <c r="A387" s="2" t="s">
        <v>562</v>
      </c>
      <c r="B387" s="3" t="n">
        <v>1</v>
      </c>
      <c r="C387" s="3" t="n">
        <v>2</v>
      </c>
      <c r="D387" s="4" t="s">
        <v>559</v>
      </c>
    </row>
    <row r="388" customFormat="false" ht="15" hidden="false" customHeight="true" outlineLevel="0" collapsed="false">
      <c r="A388" s="2" t="s">
        <v>563</v>
      </c>
      <c r="B388" s="3" t="n">
        <v>1</v>
      </c>
      <c r="C388" s="3" t="n">
        <v>2</v>
      </c>
      <c r="D388" s="4" t="s">
        <v>559</v>
      </c>
    </row>
    <row r="389" customFormat="false" ht="15" hidden="false" customHeight="true" outlineLevel="0" collapsed="false">
      <c r="A389" s="2" t="s">
        <v>564</v>
      </c>
      <c r="B389" s="3" t="n">
        <v>1</v>
      </c>
      <c r="C389" s="3" t="n">
        <v>8</v>
      </c>
      <c r="D389" s="4" t="s">
        <v>565</v>
      </c>
    </row>
    <row r="390" customFormat="false" ht="15" hidden="false" customHeight="true" outlineLevel="0" collapsed="false">
      <c r="A390" s="2" t="s">
        <v>566</v>
      </c>
      <c r="B390" s="3" t="n">
        <v>1</v>
      </c>
      <c r="C390" s="3" t="n">
        <v>8</v>
      </c>
      <c r="D390" s="4" t="s">
        <v>565</v>
      </c>
    </row>
    <row r="391" customFormat="false" ht="15" hidden="false" customHeight="true" outlineLevel="0" collapsed="false">
      <c r="A391" s="2" t="s">
        <v>567</v>
      </c>
      <c r="B391" s="3" t="n">
        <v>1</v>
      </c>
      <c r="C391" s="3" t="n">
        <v>8</v>
      </c>
      <c r="D391" s="4" t="s">
        <v>565</v>
      </c>
    </row>
    <row r="392" customFormat="false" ht="15" hidden="false" customHeight="true" outlineLevel="0" collapsed="false">
      <c r="A392" s="2" t="s">
        <v>568</v>
      </c>
      <c r="B392" s="3" t="n">
        <v>1</v>
      </c>
      <c r="C392" s="3" t="n">
        <v>8</v>
      </c>
      <c r="D392" s="4" t="s">
        <v>565</v>
      </c>
    </row>
    <row r="393" customFormat="false" ht="15" hidden="false" customHeight="true" outlineLevel="0" collapsed="false">
      <c r="A393" s="2" t="s">
        <v>569</v>
      </c>
      <c r="B393" s="3" t="n">
        <v>1</v>
      </c>
      <c r="C393" s="3" t="n">
        <v>2</v>
      </c>
      <c r="D393" s="4" t="s">
        <v>570</v>
      </c>
    </row>
    <row r="394" customFormat="false" ht="15" hidden="false" customHeight="true" outlineLevel="0" collapsed="false">
      <c r="A394" s="2" t="s">
        <v>571</v>
      </c>
      <c r="B394" s="3" t="n">
        <v>1</v>
      </c>
      <c r="C394" s="3" t="n">
        <v>2</v>
      </c>
      <c r="D394" s="4" t="s">
        <v>570</v>
      </c>
    </row>
    <row r="395" customFormat="false" ht="15" hidden="false" customHeight="true" outlineLevel="0" collapsed="false">
      <c r="A395" s="2" t="s">
        <v>572</v>
      </c>
      <c r="B395" s="3" t="n">
        <v>1</v>
      </c>
      <c r="C395" s="3" t="n">
        <v>2</v>
      </c>
      <c r="D395" s="4" t="s">
        <v>570</v>
      </c>
    </row>
    <row r="396" customFormat="false" ht="15" hidden="false" customHeight="true" outlineLevel="0" collapsed="false">
      <c r="A396" s="2" t="s">
        <v>573</v>
      </c>
      <c r="B396" s="3" t="n">
        <v>1</v>
      </c>
      <c r="C396" s="3" t="n">
        <v>2</v>
      </c>
      <c r="D396" s="4" t="s">
        <v>570</v>
      </c>
    </row>
    <row r="397" customFormat="false" ht="15" hidden="false" customHeight="true" outlineLevel="0" collapsed="false">
      <c r="A397" s="2" t="s">
        <v>574</v>
      </c>
      <c r="B397" s="3" t="n">
        <v>1</v>
      </c>
      <c r="C397" s="3" t="n">
        <v>6</v>
      </c>
      <c r="D397" s="4" t="s">
        <v>575</v>
      </c>
    </row>
    <row r="398" customFormat="false" ht="15" hidden="false" customHeight="true" outlineLevel="0" collapsed="false">
      <c r="A398" s="2" t="s">
        <v>576</v>
      </c>
      <c r="B398" s="3" t="n">
        <v>1</v>
      </c>
      <c r="C398" s="3" t="n">
        <v>6</v>
      </c>
      <c r="D398" s="4" t="s">
        <v>575</v>
      </c>
    </row>
    <row r="399" customFormat="false" ht="15" hidden="false" customHeight="true" outlineLevel="0" collapsed="false">
      <c r="A399" s="2" t="s">
        <v>577</v>
      </c>
      <c r="B399" s="3" t="n">
        <v>1</v>
      </c>
      <c r="C399" s="3" t="n">
        <v>4</v>
      </c>
      <c r="D399" s="4" t="s">
        <v>289</v>
      </c>
    </row>
    <row r="400" customFormat="false" ht="15" hidden="false" customHeight="true" outlineLevel="0" collapsed="false">
      <c r="A400" s="2" t="s">
        <v>578</v>
      </c>
      <c r="B400" s="3" t="n">
        <v>1</v>
      </c>
      <c r="C400" s="3" t="n">
        <v>4</v>
      </c>
      <c r="D400" s="4" t="s">
        <v>289</v>
      </c>
    </row>
    <row r="401" customFormat="false" ht="15" hidden="false" customHeight="true" outlineLevel="0" collapsed="false">
      <c r="A401" s="2" t="s">
        <v>579</v>
      </c>
      <c r="B401" s="3" t="n">
        <v>1</v>
      </c>
      <c r="C401" s="3" t="n">
        <v>4</v>
      </c>
      <c r="D401" s="4" t="s">
        <v>289</v>
      </c>
    </row>
    <row r="402" customFormat="false" ht="15" hidden="false" customHeight="true" outlineLevel="0" collapsed="false">
      <c r="A402" s="2" t="s">
        <v>580</v>
      </c>
      <c r="B402" s="3" t="n">
        <v>1</v>
      </c>
      <c r="C402" s="3" t="n">
        <v>4</v>
      </c>
      <c r="D402" s="4" t="s">
        <v>289</v>
      </c>
    </row>
    <row r="403" customFormat="false" ht="15" hidden="false" customHeight="true" outlineLevel="0" collapsed="false">
      <c r="A403" s="2" t="s">
        <v>581</v>
      </c>
      <c r="B403" s="3" t="n">
        <v>1</v>
      </c>
      <c r="C403" s="3" t="n">
        <v>4</v>
      </c>
      <c r="D403" s="4" t="s">
        <v>289</v>
      </c>
    </row>
    <row r="404" customFormat="false" ht="15" hidden="false" customHeight="true" outlineLevel="0" collapsed="false">
      <c r="A404" s="2" t="s">
        <v>582</v>
      </c>
      <c r="B404" s="3" t="n">
        <v>1</v>
      </c>
      <c r="C404" s="3" t="n">
        <v>2</v>
      </c>
      <c r="D404" s="4" t="s">
        <v>583</v>
      </c>
    </row>
    <row r="405" customFormat="false" ht="15" hidden="false" customHeight="true" outlineLevel="0" collapsed="false">
      <c r="A405" s="2" t="s">
        <v>584</v>
      </c>
      <c r="B405" s="3" t="n">
        <v>1</v>
      </c>
      <c r="C405" s="3" t="n">
        <v>2</v>
      </c>
      <c r="D405" s="4" t="s">
        <v>583</v>
      </c>
    </row>
    <row r="406" customFormat="false" ht="15" hidden="false" customHeight="true" outlineLevel="0" collapsed="false">
      <c r="A406" s="2" t="s">
        <v>585</v>
      </c>
      <c r="B406" s="3" t="n">
        <v>1</v>
      </c>
      <c r="C406" s="3" t="n">
        <v>2</v>
      </c>
      <c r="D406" s="4" t="s">
        <v>583</v>
      </c>
    </row>
    <row r="407" customFormat="false" ht="15" hidden="false" customHeight="true" outlineLevel="0" collapsed="false">
      <c r="A407" s="2" t="s">
        <v>586</v>
      </c>
      <c r="B407" s="3" t="n">
        <v>1</v>
      </c>
      <c r="C407" s="3" t="n">
        <v>2</v>
      </c>
      <c r="D407" s="4" t="s">
        <v>583</v>
      </c>
    </row>
    <row r="408" customFormat="false" ht="15" hidden="false" customHeight="true" outlineLevel="0" collapsed="false">
      <c r="A408" s="2" t="s">
        <v>587</v>
      </c>
      <c r="B408" s="3" t="n">
        <v>1</v>
      </c>
      <c r="C408" s="3" t="n">
        <v>9</v>
      </c>
      <c r="D408" s="4" t="s">
        <v>588</v>
      </c>
    </row>
    <row r="409" customFormat="false" ht="15" hidden="false" customHeight="true" outlineLevel="0" collapsed="false">
      <c r="A409" s="2" t="s">
        <v>589</v>
      </c>
      <c r="B409" s="3" t="n">
        <v>1</v>
      </c>
      <c r="C409" s="3" t="n">
        <v>9</v>
      </c>
      <c r="D409" s="4" t="s">
        <v>588</v>
      </c>
    </row>
    <row r="410" customFormat="false" ht="15" hidden="false" customHeight="true" outlineLevel="0" collapsed="false">
      <c r="A410" s="2" t="s">
        <v>590</v>
      </c>
      <c r="B410" s="3" t="n">
        <v>1</v>
      </c>
      <c r="C410" s="3" t="n">
        <v>3</v>
      </c>
      <c r="D410" s="4" t="s">
        <v>591</v>
      </c>
    </row>
    <row r="411" customFormat="false" ht="15" hidden="false" customHeight="true" outlineLevel="0" collapsed="false">
      <c r="A411" s="2" t="s">
        <v>592</v>
      </c>
      <c r="B411" s="3" t="n">
        <v>1</v>
      </c>
      <c r="C411" s="3" t="n">
        <v>3</v>
      </c>
      <c r="D411" s="4" t="s">
        <v>591</v>
      </c>
    </row>
    <row r="412" customFormat="false" ht="15" hidden="false" customHeight="true" outlineLevel="0" collapsed="false">
      <c r="A412" s="2" t="s">
        <v>593</v>
      </c>
      <c r="B412" s="3" t="n">
        <v>1</v>
      </c>
      <c r="C412" s="3" t="n">
        <v>3</v>
      </c>
      <c r="D412" s="4" t="s">
        <v>591</v>
      </c>
    </row>
    <row r="413" customFormat="false" ht="15" hidden="false" customHeight="true" outlineLevel="0" collapsed="false">
      <c r="A413" s="2" t="s">
        <v>594</v>
      </c>
      <c r="B413" s="3" t="n">
        <v>1</v>
      </c>
      <c r="C413" s="3" t="n">
        <v>3</v>
      </c>
      <c r="D413" s="4" t="s">
        <v>591</v>
      </c>
    </row>
    <row r="414" customFormat="false" ht="15" hidden="false" customHeight="true" outlineLevel="0" collapsed="false">
      <c r="A414" s="2" t="s">
        <v>595</v>
      </c>
      <c r="B414" s="3" t="n">
        <v>1</v>
      </c>
      <c r="C414" s="3" t="n">
        <v>7</v>
      </c>
      <c r="D414" s="4" t="s">
        <v>596</v>
      </c>
    </row>
    <row r="415" customFormat="false" ht="15" hidden="false" customHeight="true" outlineLevel="0" collapsed="false">
      <c r="A415" s="2" t="s">
        <v>597</v>
      </c>
      <c r="B415" s="3" t="n">
        <v>1</v>
      </c>
      <c r="C415" s="3" t="n">
        <v>7</v>
      </c>
      <c r="D415" s="4" t="s">
        <v>596</v>
      </c>
    </row>
    <row r="416" customFormat="false" ht="15" hidden="false" customHeight="true" outlineLevel="0" collapsed="false">
      <c r="A416" s="2" t="s">
        <v>598</v>
      </c>
      <c r="B416" s="3" t="n">
        <v>1</v>
      </c>
      <c r="C416" s="3" t="n">
        <v>6</v>
      </c>
      <c r="D416" s="4" t="s">
        <v>599</v>
      </c>
    </row>
    <row r="417" customFormat="false" ht="15" hidden="false" customHeight="true" outlineLevel="0" collapsed="false">
      <c r="A417" s="2" t="s">
        <v>600</v>
      </c>
      <c r="B417" s="3" t="n">
        <v>1</v>
      </c>
      <c r="C417" s="3" t="n">
        <v>6</v>
      </c>
      <c r="D417" s="4" t="s">
        <v>599</v>
      </c>
    </row>
    <row r="418" customFormat="false" ht="15" hidden="false" customHeight="true" outlineLevel="0" collapsed="false">
      <c r="A418" s="2" t="s">
        <v>601</v>
      </c>
      <c r="B418" s="3" t="n">
        <v>1</v>
      </c>
      <c r="C418" s="3" t="n">
        <v>6</v>
      </c>
      <c r="D418" s="4" t="s">
        <v>602</v>
      </c>
    </row>
    <row r="419" customFormat="false" ht="15" hidden="false" customHeight="true" outlineLevel="0" collapsed="false">
      <c r="A419" s="2" t="s">
        <v>603</v>
      </c>
      <c r="B419" s="3" t="n">
        <v>1</v>
      </c>
      <c r="C419" s="3" t="n">
        <v>6</v>
      </c>
      <c r="D419" s="4" t="s">
        <v>602</v>
      </c>
    </row>
    <row r="420" customFormat="false" ht="15" hidden="false" customHeight="true" outlineLevel="0" collapsed="false">
      <c r="A420" s="2" t="s">
        <v>604</v>
      </c>
      <c r="B420" s="3" t="n">
        <v>1</v>
      </c>
      <c r="C420" s="3" t="n">
        <v>6</v>
      </c>
      <c r="D420" s="4" t="s">
        <v>602</v>
      </c>
    </row>
    <row r="421" customFormat="false" ht="15" hidden="false" customHeight="true" outlineLevel="0" collapsed="false">
      <c r="A421" s="2" t="s">
        <v>605</v>
      </c>
      <c r="B421" s="3" t="n">
        <v>1</v>
      </c>
      <c r="C421" s="3" t="n">
        <v>6</v>
      </c>
      <c r="D421" s="4" t="s">
        <v>602</v>
      </c>
    </row>
    <row r="422" customFormat="false" ht="15" hidden="false" customHeight="true" outlineLevel="0" collapsed="false">
      <c r="A422" s="2" t="s">
        <v>606</v>
      </c>
      <c r="B422" s="3" t="n">
        <v>1</v>
      </c>
      <c r="C422" s="3" t="n">
        <v>6</v>
      </c>
      <c r="D422" s="4" t="s">
        <v>602</v>
      </c>
    </row>
    <row r="423" customFormat="false" ht="15" hidden="false" customHeight="true" outlineLevel="0" collapsed="false">
      <c r="A423" s="2" t="s">
        <v>607</v>
      </c>
      <c r="B423" s="3" t="n">
        <v>1</v>
      </c>
      <c r="C423" s="3" t="n">
        <v>6</v>
      </c>
      <c r="D423" s="4" t="s">
        <v>602</v>
      </c>
    </row>
    <row r="424" customFormat="false" ht="15" hidden="false" customHeight="true" outlineLevel="0" collapsed="false">
      <c r="A424" s="2" t="s">
        <v>608</v>
      </c>
      <c r="B424" s="3" t="n">
        <v>1</v>
      </c>
      <c r="C424" s="3" t="n">
        <v>6</v>
      </c>
      <c r="D424" s="4" t="s">
        <v>609</v>
      </c>
    </row>
    <row r="425" customFormat="false" ht="15" hidden="false" customHeight="true" outlineLevel="0" collapsed="false">
      <c r="A425" s="2" t="s">
        <v>610</v>
      </c>
      <c r="B425" s="3" t="n">
        <v>1</v>
      </c>
      <c r="C425" s="3" t="n">
        <v>6</v>
      </c>
      <c r="D425" s="4" t="s">
        <v>609</v>
      </c>
    </row>
    <row r="426" customFormat="false" ht="15" hidden="false" customHeight="true" outlineLevel="0" collapsed="false">
      <c r="A426" s="2" t="s">
        <v>611</v>
      </c>
      <c r="B426" s="3" t="n">
        <v>1</v>
      </c>
      <c r="C426" s="3" t="n">
        <v>6</v>
      </c>
      <c r="D426" s="4" t="s">
        <v>609</v>
      </c>
    </row>
    <row r="427" customFormat="false" ht="15" hidden="false" customHeight="true" outlineLevel="0" collapsed="false">
      <c r="A427" s="2" t="s">
        <v>612</v>
      </c>
      <c r="B427" s="3" t="n">
        <v>1</v>
      </c>
      <c r="C427" s="3" t="n">
        <v>6</v>
      </c>
      <c r="D427" s="4" t="s">
        <v>609</v>
      </c>
    </row>
    <row r="428" customFormat="false" ht="15" hidden="false" customHeight="true" outlineLevel="0" collapsed="false">
      <c r="A428" s="2" t="s">
        <v>613</v>
      </c>
      <c r="B428" s="3" t="n">
        <v>1</v>
      </c>
      <c r="C428" s="3" t="n">
        <v>6</v>
      </c>
      <c r="D428" s="4" t="s">
        <v>609</v>
      </c>
    </row>
    <row r="429" customFormat="false" ht="15" hidden="false" customHeight="true" outlineLevel="0" collapsed="false">
      <c r="A429" s="2" t="s">
        <v>614</v>
      </c>
      <c r="B429" s="3" t="n">
        <v>1</v>
      </c>
      <c r="C429" s="3" t="n">
        <v>6</v>
      </c>
      <c r="D429" s="4" t="s">
        <v>615</v>
      </c>
    </row>
    <row r="430" customFormat="false" ht="15" hidden="false" customHeight="true" outlineLevel="0" collapsed="false">
      <c r="A430" s="2" t="s">
        <v>616</v>
      </c>
      <c r="B430" s="3" t="n">
        <v>1</v>
      </c>
      <c r="C430" s="3" t="n">
        <v>6</v>
      </c>
      <c r="D430" s="4" t="s">
        <v>617</v>
      </c>
    </row>
    <row r="431" customFormat="false" ht="15" hidden="false" customHeight="true" outlineLevel="0" collapsed="false">
      <c r="A431" s="2" t="s">
        <v>618</v>
      </c>
      <c r="B431" s="3" t="n">
        <v>1</v>
      </c>
      <c r="C431" s="3" t="n">
        <v>6</v>
      </c>
      <c r="D431" s="4" t="s">
        <v>617</v>
      </c>
    </row>
    <row r="432" customFormat="false" ht="15" hidden="false" customHeight="true" outlineLevel="0" collapsed="false">
      <c r="A432" s="2" t="s">
        <v>619</v>
      </c>
      <c r="B432" s="3" t="n">
        <v>1</v>
      </c>
      <c r="C432" s="3" t="n">
        <v>6</v>
      </c>
      <c r="D432" s="4" t="s">
        <v>617</v>
      </c>
    </row>
    <row r="433" customFormat="false" ht="15" hidden="false" customHeight="true" outlineLevel="0" collapsed="false">
      <c r="A433" s="2" t="s">
        <v>620</v>
      </c>
      <c r="B433" s="3" t="n">
        <v>1</v>
      </c>
      <c r="C433" s="3" t="n">
        <v>6</v>
      </c>
      <c r="D433" s="4" t="s">
        <v>617</v>
      </c>
    </row>
    <row r="434" customFormat="false" ht="15" hidden="false" customHeight="true" outlineLevel="0" collapsed="false">
      <c r="A434" s="2" t="s">
        <v>621</v>
      </c>
      <c r="B434" s="3" t="n">
        <v>1</v>
      </c>
      <c r="C434" s="3" t="n">
        <v>6</v>
      </c>
      <c r="D434" s="4" t="s">
        <v>617</v>
      </c>
    </row>
    <row r="435" customFormat="false" ht="15" hidden="false" customHeight="true" outlineLevel="0" collapsed="false">
      <c r="A435" s="2" t="s">
        <v>622</v>
      </c>
      <c r="B435" s="3" t="n">
        <v>1</v>
      </c>
      <c r="C435" s="3" t="n">
        <v>6</v>
      </c>
      <c r="D435" s="4" t="s">
        <v>617</v>
      </c>
    </row>
    <row r="436" customFormat="false" ht="15" hidden="false" customHeight="true" outlineLevel="0" collapsed="false">
      <c r="A436" s="2" t="s">
        <v>623</v>
      </c>
      <c r="B436" s="3" t="n">
        <v>1</v>
      </c>
      <c r="C436" s="3" t="n">
        <v>8</v>
      </c>
      <c r="D436" s="4" t="s">
        <v>624</v>
      </c>
    </row>
    <row r="437" customFormat="false" ht="15" hidden="false" customHeight="true" outlineLevel="0" collapsed="false">
      <c r="A437" s="2" t="s">
        <v>625</v>
      </c>
      <c r="B437" s="3" t="n">
        <v>1</v>
      </c>
      <c r="C437" s="3" t="n">
        <v>8</v>
      </c>
      <c r="D437" s="4" t="s">
        <v>624</v>
      </c>
    </row>
    <row r="438" customFormat="false" ht="15" hidden="false" customHeight="true" outlineLevel="0" collapsed="false">
      <c r="A438" s="2" t="s">
        <v>626</v>
      </c>
      <c r="B438" s="3" t="n">
        <v>1</v>
      </c>
      <c r="C438" s="3" t="n">
        <v>8</v>
      </c>
      <c r="D438" s="4" t="s">
        <v>624</v>
      </c>
    </row>
    <row r="439" customFormat="false" ht="15" hidden="false" customHeight="true" outlineLevel="0" collapsed="false">
      <c r="A439" s="2" t="s">
        <v>627</v>
      </c>
      <c r="B439" s="3" t="n">
        <v>1</v>
      </c>
      <c r="C439" s="3" t="n">
        <v>14</v>
      </c>
      <c r="D439" s="4" t="s">
        <v>628</v>
      </c>
    </row>
    <row r="440" customFormat="false" ht="15" hidden="false" customHeight="true" outlineLevel="0" collapsed="false">
      <c r="A440" s="2" t="s">
        <v>629</v>
      </c>
      <c r="B440" s="3" t="n">
        <v>1</v>
      </c>
      <c r="C440" s="3" t="n">
        <v>14</v>
      </c>
      <c r="D440" s="4" t="s">
        <v>628</v>
      </c>
    </row>
    <row r="441" customFormat="false" ht="15" hidden="false" customHeight="true" outlineLevel="0" collapsed="false">
      <c r="A441" s="2" t="s">
        <v>630</v>
      </c>
      <c r="B441" s="3" t="n">
        <v>1</v>
      </c>
      <c r="C441" s="3" t="n">
        <v>14</v>
      </c>
      <c r="D441" s="4" t="s">
        <v>628</v>
      </c>
    </row>
    <row r="442" customFormat="false" ht="15" hidden="false" customHeight="true" outlineLevel="0" collapsed="false">
      <c r="A442" s="2" t="s">
        <v>631</v>
      </c>
      <c r="B442" s="3" t="n">
        <v>1</v>
      </c>
      <c r="C442" s="3" t="n">
        <v>14</v>
      </c>
      <c r="D442" s="4" t="s">
        <v>628</v>
      </c>
    </row>
    <row r="443" customFormat="false" ht="15" hidden="false" customHeight="true" outlineLevel="0" collapsed="false">
      <c r="A443" s="2" t="s">
        <v>632</v>
      </c>
      <c r="B443" s="3" t="n">
        <v>1</v>
      </c>
      <c r="C443" s="3" t="n">
        <v>14</v>
      </c>
      <c r="D443" s="4" t="s">
        <v>628</v>
      </c>
    </row>
    <row r="444" customFormat="false" ht="15" hidden="false" customHeight="true" outlineLevel="0" collapsed="false">
      <c r="A444" s="2" t="s">
        <v>633</v>
      </c>
      <c r="B444" s="3" t="n">
        <v>1</v>
      </c>
      <c r="C444" s="3" t="n">
        <v>14</v>
      </c>
      <c r="D444" s="4" t="s">
        <v>628</v>
      </c>
    </row>
    <row r="445" customFormat="false" ht="15" hidden="false" customHeight="true" outlineLevel="0" collapsed="false">
      <c r="A445" s="2" t="s">
        <v>634</v>
      </c>
      <c r="B445" s="3" t="n">
        <v>1</v>
      </c>
      <c r="C445" s="3" t="n">
        <v>10</v>
      </c>
      <c r="D445" s="4" t="s">
        <v>635</v>
      </c>
    </row>
    <row r="446" customFormat="false" ht="15" hidden="false" customHeight="true" outlineLevel="0" collapsed="false">
      <c r="A446" s="2" t="s">
        <v>636</v>
      </c>
      <c r="B446" s="3" t="n">
        <v>1</v>
      </c>
      <c r="C446" s="3" t="n">
        <v>10</v>
      </c>
      <c r="D446" s="4" t="s">
        <v>635</v>
      </c>
    </row>
    <row r="447" customFormat="false" ht="15" hidden="false" customHeight="true" outlineLevel="0" collapsed="false">
      <c r="A447" s="2" t="s">
        <v>637</v>
      </c>
      <c r="B447" s="3" t="n">
        <v>1</v>
      </c>
      <c r="C447" s="3" t="n">
        <v>10</v>
      </c>
      <c r="D447" s="4" t="s">
        <v>635</v>
      </c>
    </row>
    <row r="448" customFormat="false" ht="15" hidden="false" customHeight="true" outlineLevel="0" collapsed="false">
      <c r="A448" s="2" t="s">
        <v>638</v>
      </c>
      <c r="B448" s="3" t="n">
        <v>1</v>
      </c>
      <c r="C448" s="3" t="n">
        <v>10</v>
      </c>
      <c r="D448" s="4" t="s">
        <v>635</v>
      </c>
    </row>
    <row r="449" customFormat="false" ht="15" hidden="false" customHeight="true" outlineLevel="0" collapsed="false">
      <c r="A449" s="2" t="s">
        <v>639</v>
      </c>
      <c r="B449" s="3" t="n">
        <v>1</v>
      </c>
      <c r="C449" s="3" t="n">
        <v>10</v>
      </c>
      <c r="D449" s="4" t="s">
        <v>635</v>
      </c>
    </row>
    <row r="450" customFormat="false" ht="15" hidden="false" customHeight="true" outlineLevel="0" collapsed="false">
      <c r="A450" s="2" t="s">
        <v>640</v>
      </c>
      <c r="B450" s="3" t="n">
        <v>1</v>
      </c>
      <c r="C450" s="3" t="n">
        <v>10</v>
      </c>
      <c r="D450" s="4" t="s">
        <v>635</v>
      </c>
    </row>
    <row r="451" customFormat="false" ht="15" hidden="false" customHeight="true" outlineLevel="0" collapsed="false">
      <c r="A451" s="2" t="s">
        <v>641</v>
      </c>
      <c r="B451" s="3" t="n">
        <v>1</v>
      </c>
      <c r="C451" s="3" t="n">
        <v>10</v>
      </c>
      <c r="D451" s="4" t="s">
        <v>635</v>
      </c>
    </row>
    <row r="452" customFormat="false" ht="15" hidden="false" customHeight="true" outlineLevel="0" collapsed="false">
      <c r="A452" s="2" t="s">
        <v>642</v>
      </c>
      <c r="B452" s="3" t="n">
        <v>1</v>
      </c>
      <c r="C452" s="3" t="n">
        <v>10</v>
      </c>
      <c r="D452" s="4" t="s">
        <v>635</v>
      </c>
    </row>
    <row r="453" customFormat="false" ht="15" hidden="false" customHeight="true" outlineLevel="0" collapsed="false">
      <c r="A453" s="2" t="s">
        <v>643</v>
      </c>
      <c r="B453" s="3" t="n">
        <v>1</v>
      </c>
      <c r="C453" s="3" t="n">
        <v>10</v>
      </c>
      <c r="D453" s="4" t="s">
        <v>635</v>
      </c>
    </row>
    <row r="454" customFormat="false" ht="15" hidden="false" customHeight="true" outlineLevel="0" collapsed="false">
      <c r="A454" s="2" t="s">
        <v>644</v>
      </c>
      <c r="B454" s="3" t="n">
        <v>1</v>
      </c>
      <c r="C454" s="3" t="n">
        <v>10</v>
      </c>
      <c r="D454" s="4" t="s">
        <v>635</v>
      </c>
    </row>
    <row r="455" customFormat="false" ht="15" hidden="false" customHeight="true" outlineLevel="0" collapsed="false">
      <c r="A455" s="2" t="s">
        <v>645</v>
      </c>
      <c r="B455" s="3" t="n">
        <v>1</v>
      </c>
      <c r="C455" s="3" t="n">
        <v>10</v>
      </c>
      <c r="D455" s="4" t="s">
        <v>635</v>
      </c>
    </row>
    <row r="456" customFormat="false" ht="15" hidden="false" customHeight="true" outlineLevel="0" collapsed="false">
      <c r="A456" s="2" t="s">
        <v>646</v>
      </c>
      <c r="B456" s="3" t="n">
        <v>1</v>
      </c>
      <c r="C456" s="3" t="n">
        <v>7</v>
      </c>
      <c r="D456" s="4" t="s">
        <v>647</v>
      </c>
    </row>
    <row r="457" customFormat="false" ht="15" hidden="false" customHeight="true" outlineLevel="0" collapsed="false">
      <c r="A457" s="2" t="s">
        <v>648</v>
      </c>
      <c r="B457" s="3" t="n">
        <v>1</v>
      </c>
      <c r="C457" s="3" t="n">
        <v>7</v>
      </c>
      <c r="D457" s="4" t="s">
        <v>647</v>
      </c>
    </row>
    <row r="458" customFormat="false" ht="15" hidden="false" customHeight="true" outlineLevel="0" collapsed="false">
      <c r="A458" s="2" t="s">
        <v>649</v>
      </c>
      <c r="B458" s="3" t="n">
        <v>1</v>
      </c>
      <c r="C458" s="3" t="n">
        <v>4</v>
      </c>
      <c r="D458" s="4" t="s">
        <v>650</v>
      </c>
    </row>
    <row r="459" customFormat="false" ht="15" hidden="false" customHeight="true" outlineLevel="0" collapsed="false">
      <c r="A459" s="2" t="s">
        <v>651</v>
      </c>
      <c r="B459" s="3" t="n">
        <v>1</v>
      </c>
      <c r="C459" s="3" t="n">
        <v>4</v>
      </c>
      <c r="D459" s="4" t="s">
        <v>650</v>
      </c>
    </row>
    <row r="460" customFormat="false" ht="15" hidden="false" customHeight="true" outlineLevel="0" collapsed="false">
      <c r="A460" s="2" t="s">
        <v>652</v>
      </c>
      <c r="B460" s="3" t="n">
        <v>1</v>
      </c>
      <c r="C460" s="3" t="n">
        <v>4</v>
      </c>
      <c r="D460" s="4" t="s">
        <v>650</v>
      </c>
    </row>
    <row r="461" customFormat="false" ht="15" hidden="false" customHeight="true" outlineLevel="0" collapsed="false">
      <c r="A461" s="2" t="s">
        <v>653</v>
      </c>
      <c r="B461" s="3" t="n">
        <v>1</v>
      </c>
      <c r="C461" s="3" t="n">
        <v>4</v>
      </c>
      <c r="D461" s="4" t="s">
        <v>650</v>
      </c>
    </row>
    <row r="462" customFormat="false" ht="15" hidden="false" customHeight="true" outlineLevel="0" collapsed="false">
      <c r="A462" s="2" t="s">
        <v>654</v>
      </c>
      <c r="B462" s="3" t="n">
        <v>1</v>
      </c>
      <c r="C462" s="3" t="n">
        <v>4</v>
      </c>
      <c r="D462" s="4" t="s">
        <v>650</v>
      </c>
    </row>
    <row r="463" customFormat="false" ht="15" hidden="false" customHeight="true" outlineLevel="0" collapsed="false">
      <c r="A463" s="2" t="s">
        <v>655</v>
      </c>
      <c r="B463" s="3" t="n">
        <v>1</v>
      </c>
      <c r="C463" s="3" t="n">
        <v>7</v>
      </c>
      <c r="D463" s="4" t="s">
        <v>656</v>
      </c>
    </row>
    <row r="464" customFormat="false" ht="15" hidden="false" customHeight="true" outlineLevel="0" collapsed="false">
      <c r="A464" s="2" t="s">
        <v>657</v>
      </c>
      <c r="B464" s="3" t="n">
        <v>1</v>
      </c>
      <c r="C464" s="3" t="n">
        <v>7</v>
      </c>
      <c r="D464" s="4" t="s">
        <v>656</v>
      </c>
    </row>
    <row r="465" customFormat="false" ht="15" hidden="false" customHeight="true" outlineLevel="0" collapsed="false">
      <c r="A465" s="2" t="s">
        <v>658</v>
      </c>
      <c r="B465" s="3" t="n">
        <v>1</v>
      </c>
      <c r="C465" s="3" t="n">
        <v>2</v>
      </c>
      <c r="D465" s="4" t="s">
        <v>659</v>
      </c>
    </row>
    <row r="466" customFormat="false" ht="15" hidden="false" customHeight="true" outlineLevel="0" collapsed="false">
      <c r="A466" s="2" t="s">
        <v>660</v>
      </c>
      <c r="B466" s="3" t="n">
        <v>1</v>
      </c>
      <c r="C466" s="3" t="n">
        <v>2</v>
      </c>
      <c r="D466" s="4" t="s">
        <v>659</v>
      </c>
    </row>
    <row r="467" customFormat="false" ht="15" hidden="false" customHeight="true" outlineLevel="0" collapsed="false">
      <c r="A467" s="2" t="s">
        <v>661</v>
      </c>
      <c r="B467" s="3" t="n">
        <v>1</v>
      </c>
      <c r="C467" s="3" t="n">
        <v>2</v>
      </c>
      <c r="D467" s="4" t="s">
        <v>659</v>
      </c>
    </row>
    <row r="468" customFormat="false" ht="15" hidden="false" customHeight="true" outlineLevel="0" collapsed="false">
      <c r="A468" s="2" t="s">
        <v>662</v>
      </c>
      <c r="B468" s="3" t="n">
        <v>1</v>
      </c>
      <c r="C468" s="3" t="n">
        <v>2</v>
      </c>
      <c r="D468" s="4" t="s">
        <v>659</v>
      </c>
    </row>
    <row r="469" customFormat="false" ht="15" hidden="false" customHeight="true" outlineLevel="0" collapsed="false">
      <c r="A469" s="2" t="s">
        <v>663</v>
      </c>
      <c r="B469" s="3" t="n">
        <v>1</v>
      </c>
      <c r="C469" s="3" t="n">
        <v>2</v>
      </c>
      <c r="D469" s="4" t="s">
        <v>659</v>
      </c>
    </row>
    <row r="470" customFormat="false" ht="15" hidden="false" customHeight="true" outlineLevel="0" collapsed="false">
      <c r="A470" s="2" t="s">
        <v>664</v>
      </c>
      <c r="B470" s="3" t="n">
        <v>1</v>
      </c>
      <c r="C470" s="3" t="n">
        <v>5</v>
      </c>
      <c r="D470" s="4" t="s">
        <v>665</v>
      </c>
    </row>
    <row r="471" customFormat="false" ht="15" hidden="false" customHeight="true" outlineLevel="0" collapsed="false">
      <c r="A471" s="2" t="s">
        <v>666</v>
      </c>
      <c r="B471" s="3" t="n">
        <v>1</v>
      </c>
      <c r="C471" s="3" t="n">
        <v>5</v>
      </c>
      <c r="D471" s="4" t="s">
        <v>665</v>
      </c>
    </row>
    <row r="472" customFormat="false" ht="15" hidden="false" customHeight="true" outlineLevel="0" collapsed="false">
      <c r="A472" s="2" t="s">
        <v>667</v>
      </c>
      <c r="B472" s="3" t="n">
        <v>1</v>
      </c>
      <c r="C472" s="3" t="n">
        <v>5</v>
      </c>
      <c r="D472" s="4" t="s">
        <v>665</v>
      </c>
    </row>
    <row r="473" customFormat="false" ht="15" hidden="false" customHeight="true" outlineLevel="0" collapsed="false">
      <c r="A473" s="2" t="s">
        <v>668</v>
      </c>
      <c r="B473" s="3" t="n">
        <v>1</v>
      </c>
      <c r="C473" s="3" t="n">
        <v>5</v>
      </c>
      <c r="D473" s="4" t="s">
        <v>665</v>
      </c>
    </row>
    <row r="474" customFormat="false" ht="15" hidden="false" customHeight="true" outlineLevel="0" collapsed="false">
      <c r="A474" s="2" t="s">
        <v>669</v>
      </c>
      <c r="B474" s="3" t="n">
        <v>1</v>
      </c>
      <c r="C474" s="3" t="n">
        <v>5</v>
      </c>
      <c r="D474" s="4" t="s">
        <v>665</v>
      </c>
    </row>
    <row r="475" customFormat="false" ht="15" hidden="false" customHeight="true" outlineLevel="0" collapsed="false">
      <c r="A475" s="2" t="s">
        <v>670</v>
      </c>
      <c r="B475" s="3" t="n">
        <v>1</v>
      </c>
      <c r="C475" s="3" t="n">
        <v>5</v>
      </c>
      <c r="D475" s="4" t="s">
        <v>665</v>
      </c>
    </row>
    <row r="476" customFormat="false" ht="15" hidden="false" customHeight="true" outlineLevel="0" collapsed="false">
      <c r="A476" s="2" t="s">
        <v>671</v>
      </c>
      <c r="B476" s="3" t="n">
        <v>1</v>
      </c>
      <c r="C476" s="3" t="n">
        <v>5</v>
      </c>
      <c r="D476" s="4" t="s">
        <v>665</v>
      </c>
    </row>
    <row r="477" customFormat="false" ht="15" hidden="false" customHeight="true" outlineLevel="0" collapsed="false">
      <c r="A477" s="2" t="s">
        <v>672</v>
      </c>
      <c r="B477" s="3" t="n">
        <v>1</v>
      </c>
      <c r="C477" s="3" t="n">
        <v>5</v>
      </c>
      <c r="D477" s="4" t="s">
        <v>665</v>
      </c>
    </row>
    <row r="478" customFormat="false" ht="15" hidden="false" customHeight="true" outlineLevel="0" collapsed="false">
      <c r="A478" s="2" t="s">
        <v>673</v>
      </c>
      <c r="B478" s="3" t="n">
        <v>1</v>
      </c>
      <c r="C478" s="3" t="n">
        <v>5</v>
      </c>
      <c r="D478" s="4" t="s">
        <v>665</v>
      </c>
    </row>
    <row r="479" customFormat="false" ht="15" hidden="false" customHeight="true" outlineLevel="0" collapsed="false">
      <c r="A479" s="2" t="s">
        <v>674</v>
      </c>
      <c r="B479" s="3" t="n">
        <v>1</v>
      </c>
      <c r="C479" s="3" t="n">
        <v>5</v>
      </c>
      <c r="D479" s="4" t="s">
        <v>665</v>
      </c>
    </row>
    <row r="480" customFormat="false" ht="15" hidden="false" customHeight="true" outlineLevel="0" collapsed="false">
      <c r="A480" s="2" t="s">
        <v>675</v>
      </c>
      <c r="B480" s="3" t="n">
        <v>1</v>
      </c>
      <c r="C480" s="3" t="n">
        <v>5</v>
      </c>
      <c r="D480" s="4" t="s">
        <v>665</v>
      </c>
    </row>
    <row r="481" customFormat="false" ht="15" hidden="false" customHeight="true" outlineLevel="0" collapsed="false">
      <c r="A481" s="2" t="s">
        <v>676</v>
      </c>
      <c r="B481" s="3" t="n">
        <v>1</v>
      </c>
      <c r="C481" s="3" t="n">
        <v>5</v>
      </c>
      <c r="D481" s="4" t="s">
        <v>665</v>
      </c>
    </row>
    <row r="482" customFormat="false" ht="15" hidden="false" customHeight="true" outlineLevel="0" collapsed="false">
      <c r="A482" s="2" t="s">
        <v>677</v>
      </c>
      <c r="B482" s="3" t="n">
        <v>1</v>
      </c>
      <c r="C482" s="3" t="n">
        <v>5</v>
      </c>
      <c r="D482" s="4" t="s">
        <v>665</v>
      </c>
    </row>
    <row r="483" customFormat="false" ht="15" hidden="false" customHeight="true" outlineLevel="0" collapsed="false">
      <c r="A483" s="2" t="s">
        <v>678</v>
      </c>
      <c r="B483" s="3" t="n">
        <v>1</v>
      </c>
      <c r="C483" s="3" t="n">
        <v>5</v>
      </c>
      <c r="D483" s="4" t="s">
        <v>665</v>
      </c>
    </row>
    <row r="484" customFormat="false" ht="15" hidden="false" customHeight="true" outlineLevel="0" collapsed="false">
      <c r="A484" s="2" t="s">
        <v>679</v>
      </c>
      <c r="B484" s="3" t="n">
        <v>1</v>
      </c>
      <c r="C484" s="3" t="n">
        <v>5</v>
      </c>
      <c r="D484" s="4" t="s">
        <v>665</v>
      </c>
    </row>
    <row r="485" customFormat="false" ht="15" hidden="false" customHeight="true" outlineLevel="0" collapsed="false">
      <c r="A485" s="2" t="s">
        <v>680</v>
      </c>
      <c r="B485" s="3" t="n">
        <v>1</v>
      </c>
      <c r="C485" s="3" t="n">
        <v>5</v>
      </c>
      <c r="D485" s="4" t="s">
        <v>665</v>
      </c>
    </row>
    <row r="486" customFormat="false" ht="15" hidden="false" customHeight="true" outlineLevel="0" collapsed="false">
      <c r="A486" s="2" t="s">
        <v>681</v>
      </c>
      <c r="B486" s="3" t="n">
        <v>1</v>
      </c>
      <c r="C486" s="3" t="n">
        <v>5</v>
      </c>
      <c r="D486" s="4" t="s">
        <v>665</v>
      </c>
    </row>
    <row r="487" customFormat="false" ht="15" hidden="false" customHeight="true" outlineLevel="0" collapsed="false">
      <c r="A487" s="2" t="s">
        <v>682</v>
      </c>
      <c r="B487" s="3" t="n">
        <v>1</v>
      </c>
      <c r="C487" s="3" t="n">
        <v>5</v>
      </c>
      <c r="D487" s="4" t="s">
        <v>665</v>
      </c>
    </row>
    <row r="488" customFormat="false" ht="15" hidden="false" customHeight="true" outlineLevel="0" collapsed="false">
      <c r="A488" s="2" t="s">
        <v>683</v>
      </c>
      <c r="B488" s="3" t="n">
        <v>1</v>
      </c>
      <c r="C488" s="3" t="n">
        <v>5</v>
      </c>
      <c r="D488" s="4" t="s">
        <v>665</v>
      </c>
    </row>
    <row r="489" customFormat="false" ht="15" hidden="false" customHeight="true" outlineLevel="0" collapsed="false">
      <c r="A489" s="2" t="s">
        <v>684</v>
      </c>
      <c r="B489" s="3" t="n">
        <v>1</v>
      </c>
      <c r="C489" s="3" t="n">
        <v>5</v>
      </c>
      <c r="D489" s="4" t="s">
        <v>665</v>
      </c>
    </row>
    <row r="490" customFormat="false" ht="15" hidden="false" customHeight="true" outlineLevel="0" collapsed="false">
      <c r="A490" s="2" t="s">
        <v>685</v>
      </c>
      <c r="B490" s="3" t="n">
        <v>1</v>
      </c>
      <c r="C490" s="3" t="n">
        <v>5</v>
      </c>
      <c r="D490" s="4" t="s">
        <v>665</v>
      </c>
    </row>
    <row r="491" customFormat="false" ht="15" hidden="false" customHeight="true" outlineLevel="0" collapsed="false">
      <c r="A491" s="2" t="s">
        <v>686</v>
      </c>
      <c r="B491" s="3" t="n">
        <v>1</v>
      </c>
      <c r="C491" s="3" t="n">
        <v>5</v>
      </c>
      <c r="D491" s="4" t="s">
        <v>665</v>
      </c>
    </row>
    <row r="492" customFormat="false" ht="15" hidden="false" customHeight="true" outlineLevel="0" collapsed="false">
      <c r="A492" s="2" t="s">
        <v>687</v>
      </c>
      <c r="B492" s="3" t="n">
        <v>1</v>
      </c>
      <c r="C492" s="3" t="n">
        <v>5</v>
      </c>
      <c r="D492" s="4" t="s">
        <v>665</v>
      </c>
    </row>
    <row r="493" customFormat="false" ht="15" hidden="false" customHeight="true" outlineLevel="0" collapsed="false">
      <c r="A493" s="2" t="s">
        <v>688</v>
      </c>
      <c r="B493" s="3" t="n">
        <v>1</v>
      </c>
      <c r="C493" s="3" t="n">
        <v>5</v>
      </c>
      <c r="D493" s="4" t="s">
        <v>665</v>
      </c>
    </row>
    <row r="494" customFormat="false" ht="15" hidden="false" customHeight="true" outlineLevel="0" collapsed="false">
      <c r="A494" s="2" t="s">
        <v>689</v>
      </c>
      <c r="B494" s="3" t="n">
        <v>1</v>
      </c>
      <c r="C494" s="3" t="n">
        <v>5</v>
      </c>
      <c r="D494" s="4" t="s">
        <v>665</v>
      </c>
    </row>
    <row r="495" customFormat="false" ht="15" hidden="false" customHeight="true" outlineLevel="0" collapsed="false">
      <c r="A495" s="2" t="s">
        <v>690</v>
      </c>
      <c r="B495" s="3" t="n">
        <v>1</v>
      </c>
      <c r="C495" s="3" t="n">
        <v>5</v>
      </c>
      <c r="D495" s="4" t="s">
        <v>665</v>
      </c>
    </row>
    <row r="496" customFormat="false" ht="15" hidden="false" customHeight="true" outlineLevel="0" collapsed="false">
      <c r="A496" s="2" t="s">
        <v>691</v>
      </c>
      <c r="B496" s="3" t="n">
        <v>1</v>
      </c>
      <c r="C496" s="3" t="n">
        <v>5</v>
      </c>
      <c r="D496" s="4" t="s">
        <v>665</v>
      </c>
    </row>
    <row r="497" customFormat="false" ht="15" hidden="false" customHeight="true" outlineLevel="0" collapsed="false">
      <c r="A497" s="2" t="s">
        <v>692</v>
      </c>
      <c r="B497" s="3" t="n">
        <v>1</v>
      </c>
      <c r="C497" s="3" t="n">
        <v>9</v>
      </c>
      <c r="D497" s="4" t="s">
        <v>693</v>
      </c>
    </row>
    <row r="498" customFormat="false" ht="15" hidden="false" customHeight="true" outlineLevel="0" collapsed="false">
      <c r="A498" s="2" t="s">
        <v>694</v>
      </c>
      <c r="B498" s="3" t="n">
        <v>1</v>
      </c>
      <c r="C498" s="3" t="n">
        <v>9</v>
      </c>
      <c r="D498" s="4" t="s">
        <v>693</v>
      </c>
    </row>
    <row r="499" customFormat="false" ht="15" hidden="false" customHeight="true" outlineLevel="0" collapsed="false">
      <c r="A499" s="2" t="s">
        <v>695</v>
      </c>
      <c r="B499" s="3" t="n">
        <v>1</v>
      </c>
      <c r="C499" s="3" t="n">
        <v>9</v>
      </c>
      <c r="D499" s="4" t="s">
        <v>693</v>
      </c>
    </row>
    <row r="500" customFormat="false" ht="15" hidden="false" customHeight="true" outlineLevel="0" collapsed="false">
      <c r="A500" s="2" t="s">
        <v>696</v>
      </c>
      <c r="B500" s="3" t="n">
        <v>1</v>
      </c>
      <c r="C500" s="3" t="n">
        <v>9</v>
      </c>
      <c r="D500" s="4" t="s">
        <v>693</v>
      </c>
    </row>
    <row r="501" customFormat="false" ht="15" hidden="false" customHeight="true" outlineLevel="0" collapsed="false">
      <c r="A501" s="2" t="s">
        <v>697</v>
      </c>
      <c r="B501" s="3" t="n">
        <v>1</v>
      </c>
      <c r="C501" s="3" t="n">
        <v>9</v>
      </c>
      <c r="D501" s="4" t="s">
        <v>693</v>
      </c>
    </row>
    <row r="502" customFormat="false" ht="15" hidden="false" customHeight="true" outlineLevel="0" collapsed="false">
      <c r="A502" s="2" t="s">
        <v>698</v>
      </c>
      <c r="B502" s="3" t="n">
        <v>1</v>
      </c>
      <c r="C502" s="3" t="n">
        <v>9</v>
      </c>
      <c r="D502" s="4" t="s">
        <v>693</v>
      </c>
    </row>
    <row r="503" customFormat="false" ht="15" hidden="false" customHeight="true" outlineLevel="0" collapsed="false">
      <c r="A503" s="2" t="s">
        <v>699</v>
      </c>
      <c r="B503" s="3" t="n">
        <v>1</v>
      </c>
      <c r="C503" s="3" t="n">
        <v>9</v>
      </c>
      <c r="D503" s="4" t="s">
        <v>693</v>
      </c>
    </row>
    <row r="504" customFormat="false" ht="15" hidden="false" customHeight="true" outlineLevel="0" collapsed="false">
      <c r="A504" s="2" t="s">
        <v>700</v>
      </c>
      <c r="B504" s="3" t="n">
        <v>1</v>
      </c>
      <c r="C504" s="3" t="n">
        <v>9</v>
      </c>
      <c r="D504" s="4" t="s">
        <v>693</v>
      </c>
    </row>
    <row r="505" customFormat="false" ht="15" hidden="false" customHeight="true" outlineLevel="0" collapsed="false">
      <c r="A505" s="2" t="s">
        <v>701</v>
      </c>
      <c r="B505" s="3" t="n">
        <v>1</v>
      </c>
      <c r="C505" s="3" t="n">
        <v>9</v>
      </c>
      <c r="D505" s="4" t="s">
        <v>693</v>
      </c>
    </row>
    <row r="506" customFormat="false" ht="15" hidden="false" customHeight="true" outlineLevel="0" collapsed="false">
      <c r="A506" s="2" t="s">
        <v>702</v>
      </c>
      <c r="B506" s="3" t="n">
        <v>1</v>
      </c>
      <c r="C506" s="3" t="n">
        <v>9</v>
      </c>
      <c r="D506" s="4" t="s">
        <v>693</v>
      </c>
    </row>
    <row r="507" customFormat="false" ht="15" hidden="false" customHeight="true" outlineLevel="0" collapsed="false">
      <c r="A507" s="2" t="s">
        <v>703</v>
      </c>
      <c r="B507" s="3" t="n">
        <v>1</v>
      </c>
      <c r="C507" s="3" t="n">
        <v>9</v>
      </c>
      <c r="D507" s="4" t="s">
        <v>693</v>
      </c>
    </row>
    <row r="508" customFormat="false" ht="15" hidden="false" customHeight="true" outlineLevel="0" collapsed="false">
      <c r="A508" s="2" t="s">
        <v>704</v>
      </c>
      <c r="B508" s="3" t="n">
        <v>1</v>
      </c>
      <c r="C508" s="3" t="n">
        <v>9</v>
      </c>
      <c r="D508" s="4" t="s">
        <v>693</v>
      </c>
    </row>
    <row r="509" customFormat="false" ht="15" hidden="false" customHeight="true" outlineLevel="0" collapsed="false">
      <c r="A509" s="2" t="s">
        <v>705</v>
      </c>
      <c r="B509" s="3" t="n">
        <v>1</v>
      </c>
      <c r="C509" s="3" t="n">
        <v>9</v>
      </c>
      <c r="D509" s="4" t="s">
        <v>693</v>
      </c>
    </row>
    <row r="510" customFormat="false" ht="15" hidden="false" customHeight="true" outlineLevel="0" collapsed="false">
      <c r="A510" s="2" t="s">
        <v>706</v>
      </c>
      <c r="B510" s="3" t="n">
        <v>1</v>
      </c>
      <c r="C510" s="3" t="n">
        <v>9</v>
      </c>
      <c r="D510" s="4" t="s">
        <v>693</v>
      </c>
    </row>
    <row r="511" customFormat="false" ht="15" hidden="false" customHeight="true" outlineLevel="0" collapsed="false">
      <c r="A511" s="2" t="s">
        <v>707</v>
      </c>
      <c r="B511" s="3" t="n">
        <v>1</v>
      </c>
      <c r="C511" s="3" t="n">
        <v>9</v>
      </c>
      <c r="D511" s="4" t="s">
        <v>693</v>
      </c>
    </row>
    <row r="512" customFormat="false" ht="15" hidden="false" customHeight="true" outlineLevel="0" collapsed="false">
      <c r="A512" s="2" t="s">
        <v>708</v>
      </c>
      <c r="B512" s="3" t="n">
        <v>1</v>
      </c>
      <c r="C512" s="3" t="n">
        <v>3</v>
      </c>
      <c r="D512" s="4" t="s">
        <v>428</v>
      </c>
    </row>
    <row r="513" customFormat="false" ht="15" hidden="false" customHeight="true" outlineLevel="0" collapsed="false">
      <c r="A513" s="2" t="s">
        <v>709</v>
      </c>
      <c r="B513" s="3" t="n">
        <v>1</v>
      </c>
      <c r="C513" s="3" t="n">
        <v>3</v>
      </c>
      <c r="D513" s="4" t="s">
        <v>428</v>
      </c>
    </row>
    <row r="514" customFormat="false" ht="15" hidden="false" customHeight="true" outlineLevel="0" collapsed="false">
      <c r="A514" s="2" t="s">
        <v>710</v>
      </c>
      <c r="B514" s="3" t="n">
        <v>1</v>
      </c>
      <c r="C514" s="3" t="n">
        <v>3</v>
      </c>
      <c r="D514" s="4" t="s">
        <v>428</v>
      </c>
    </row>
    <row r="515" customFormat="false" ht="15" hidden="false" customHeight="true" outlineLevel="0" collapsed="false">
      <c r="A515" s="2" t="s">
        <v>711</v>
      </c>
      <c r="B515" s="3" t="n">
        <v>1</v>
      </c>
      <c r="C515" s="3" t="n">
        <v>6</v>
      </c>
      <c r="D515" s="4" t="s">
        <v>712</v>
      </c>
    </row>
    <row r="516" customFormat="false" ht="15" hidden="false" customHeight="true" outlineLevel="0" collapsed="false">
      <c r="A516" s="2" t="s">
        <v>713</v>
      </c>
      <c r="B516" s="3" t="n">
        <v>1</v>
      </c>
      <c r="C516" s="3" t="n">
        <v>6</v>
      </c>
      <c r="D516" s="4" t="s">
        <v>712</v>
      </c>
    </row>
    <row r="517" customFormat="false" ht="15" hidden="false" customHeight="true" outlineLevel="0" collapsed="false">
      <c r="A517" s="2" t="s">
        <v>714</v>
      </c>
      <c r="B517" s="3" t="n">
        <v>1</v>
      </c>
      <c r="C517" s="3" t="n">
        <v>6</v>
      </c>
      <c r="D517" s="4" t="s">
        <v>712</v>
      </c>
    </row>
    <row r="518" customFormat="false" ht="15" hidden="false" customHeight="true" outlineLevel="0" collapsed="false">
      <c r="A518" s="2" t="s">
        <v>715</v>
      </c>
      <c r="B518" s="3" t="n">
        <v>1</v>
      </c>
      <c r="C518" s="3" t="n">
        <v>6</v>
      </c>
      <c r="D518" s="4" t="s">
        <v>712</v>
      </c>
    </row>
    <row r="519" customFormat="false" ht="15" hidden="false" customHeight="true" outlineLevel="0" collapsed="false">
      <c r="A519" s="2" t="s">
        <v>716</v>
      </c>
      <c r="B519" s="3" t="n">
        <v>1</v>
      </c>
      <c r="C519" s="3" t="n">
        <v>6</v>
      </c>
      <c r="D519" s="4" t="s">
        <v>712</v>
      </c>
    </row>
    <row r="520" customFormat="false" ht="15" hidden="false" customHeight="true" outlineLevel="0" collapsed="false">
      <c r="A520" s="2" t="s">
        <v>717</v>
      </c>
      <c r="B520" s="3" t="n">
        <v>1</v>
      </c>
      <c r="C520" s="3" t="n">
        <v>6</v>
      </c>
      <c r="D520" s="4" t="s">
        <v>712</v>
      </c>
    </row>
    <row r="521" customFormat="false" ht="15" hidden="false" customHeight="true" outlineLevel="0" collapsed="false">
      <c r="A521" s="2" t="s">
        <v>718</v>
      </c>
      <c r="B521" s="3" t="n">
        <v>1</v>
      </c>
      <c r="C521" s="3" t="n">
        <v>6</v>
      </c>
      <c r="D521" s="4" t="s">
        <v>712</v>
      </c>
    </row>
    <row r="522" customFormat="false" ht="15" hidden="false" customHeight="true" outlineLevel="0" collapsed="false">
      <c r="A522" s="2" t="s">
        <v>719</v>
      </c>
      <c r="B522" s="3" t="n">
        <v>1</v>
      </c>
      <c r="C522" s="3" t="n">
        <v>4</v>
      </c>
      <c r="D522" s="4" t="s">
        <v>720</v>
      </c>
    </row>
    <row r="523" customFormat="false" ht="15" hidden="false" customHeight="true" outlineLevel="0" collapsed="false">
      <c r="A523" s="2" t="s">
        <v>721</v>
      </c>
      <c r="B523" s="3" t="n">
        <v>1</v>
      </c>
      <c r="C523" s="3" t="n">
        <v>4</v>
      </c>
      <c r="D523" s="4" t="s">
        <v>720</v>
      </c>
    </row>
    <row r="524" customFormat="false" ht="15" hidden="false" customHeight="true" outlineLevel="0" collapsed="false">
      <c r="A524" s="2" t="s">
        <v>722</v>
      </c>
      <c r="B524" s="3" t="n">
        <v>1</v>
      </c>
      <c r="C524" s="3" t="n">
        <v>4</v>
      </c>
      <c r="D524" s="4" t="s">
        <v>720</v>
      </c>
    </row>
    <row r="525" customFormat="false" ht="15" hidden="false" customHeight="true" outlineLevel="0" collapsed="false">
      <c r="A525" s="2" t="s">
        <v>723</v>
      </c>
      <c r="B525" s="3" t="n">
        <v>1</v>
      </c>
      <c r="C525" s="3" t="n">
        <v>4</v>
      </c>
      <c r="D525" s="4" t="s">
        <v>720</v>
      </c>
    </row>
    <row r="526" customFormat="false" ht="15" hidden="false" customHeight="true" outlineLevel="0" collapsed="false">
      <c r="A526" s="2" t="s">
        <v>724</v>
      </c>
      <c r="B526" s="3" t="n">
        <v>1</v>
      </c>
      <c r="C526" s="3" t="n">
        <v>5</v>
      </c>
      <c r="D526" s="4" t="s">
        <v>725</v>
      </c>
    </row>
    <row r="527" customFormat="false" ht="15" hidden="false" customHeight="true" outlineLevel="0" collapsed="false">
      <c r="A527" s="2" t="s">
        <v>726</v>
      </c>
      <c r="B527" s="3" t="n">
        <v>1</v>
      </c>
      <c r="C527" s="3" t="n">
        <v>5</v>
      </c>
      <c r="D527" s="4" t="s">
        <v>725</v>
      </c>
    </row>
    <row r="528" customFormat="false" ht="15" hidden="false" customHeight="true" outlineLevel="0" collapsed="false">
      <c r="A528" s="2" t="s">
        <v>727</v>
      </c>
      <c r="B528" s="3" t="n">
        <v>1</v>
      </c>
      <c r="C528" s="3" t="n">
        <v>5</v>
      </c>
      <c r="D528" s="4" t="s">
        <v>725</v>
      </c>
    </row>
    <row r="529" customFormat="false" ht="15" hidden="false" customHeight="true" outlineLevel="0" collapsed="false">
      <c r="A529" s="2" t="s">
        <v>728</v>
      </c>
      <c r="B529" s="3" t="n">
        <v>1</v>
      </c>
      <c r="C529" s="3" t="n">
        <v>5</v>
      </c>
      <c r="D529" s="4" t="s">
        <v>729</v>
      </c>
    </row>
    <row r="530" customFormat="false" ht="15" hidden="false" customHeight="true" outlineLevel="0" collapsed="false">
      <c r="A530" s="2" t="s">
        <v>730</v>
      </c>
      <c r="B530" s="3" t="n">
        <v>1</v>
      </c>
      <c r="C530" s="3" t="n">
        <v>2</v>
      </c>
      <c r="D530" s="4" t="s">
        <v>731</v>
      </c>
    </row>
    <row r="531" customFormat="false" ht="15" hidden="false" customHeight="true" outlineLevel="0" collapsed="false">
      <c r="A531" s="2" t="s">
        <v>732</v>
      </c>
      <c r="B531" s="3" t="n">
        <v>1</v>
      </c>
      <c r="C531" s="3" t="n">
        <v>2</v>
      </c>
      <c r="D531" s="4" t="s">
        <v>731</v>
      </c>
    </row>
    <row r="532" customFormat="false" ht="15" hidden="false" customHeight="true" outlineLevel="0" collapsed="false">
      <c r="A532" s="2" t="s">
        <v>733</v>
      </c>
      <c r="B532" s="3" t="n">
        <v>1</v>
      </c>
      <c r="C532" s="3" t="n">
        <v>2</v>
      </c>
      <c r="D532" s="4" t="s">
        <v>731</v>
      </c>
    </row>
    <row r="533" customFormat="false" ht="15" hidden="false" customHeight="true" outlineLevel="0" collapsed="false">
      <c r="A533" s="2" t="s">
        <v>734</v>
      </c>
      <c r="B533" s="3" t="n">
        <v>1</v>
      </c>
      <c r="C533" s="3" t="n">
        <v>2</v>
      </c>
      <c r="D533" s="4" t="s">
        <v>731</v>
      </c>
    </row>
    <row r="534" customFormat="false" ht="15" hidden="false" customHeight="true" outlineLevel="0" collapsed="false">
      <c r="A534" s="2" t="s">
        <v>735</v>
      </c>
      <c r="B534" s="3" t="n">
        <v>1</v>
      </c>
      <c r="C534" s="3" t="n">
        <v>2</v>
      </c>
      <c r="D534" s="4" t="s">
        <v>731</v>
      </c>
    </row>
    <row r="535" customFormat="false" ht="15" hidden="false" customHeight="true" outlineLevel="0" collapsed="false">
      <c r="A535" s="2" t="s">
        <v>736</v>
      </c>
      <c r="B535" s="3" t="n">
        <v>1</v>
      </c>
      <c r="C535" s="3" t="n">
        <v>2</v>
      </c>
      <c r="D535" s="4" t="s">
        <v>731</v>
      </c>
    </row>
    <row r="536" customFormat="false" ht="15" hidden="false" customHeight="true" outlineLevel="0" collapsed="false">
      <c r="A536" s="2" t="s">
        <v>737</v>
      </c>
      <c r="B536" s="3" t="n">
        <v>1</v>
      </c>
      <c r="C536" s="3" t="n">
        <v>5</v>
      </c>
      <c r="D536" s="4" t="s">
        <v>738</v>
      </c>
    </row>
    <row r="537" customFormat="false" ht="15" hidden="false" customHeight="true" outlineLevel="0" collapsed="false">
      <c r="A537" s="2" t="s">
        <v>739</v>
      </c>
      <c r="B537" s="3" t="n">
        <v>1</v>
      </c>
      <c r="C537" s="3" t="n">
        <v>5</v>
      </c>
      <c r="D537" s="4" t="s">
        <v>738</v>
      </c>
    </row>
    <row r="538" customFormat="false" ht="15" hidden="false" customHeight="true" outlineLevel="0" collapsed="false">
      <c r="A538" s="2" t="s">
        <v>740</v>
      </c>
      <c r="B538" s="3" t="n">
        <v>1</v>
      </c>
      <c r="C538" s="3" t="n">
        <v>5</v>
      </c>
      <c r="D538" s="4" t="s">
        <v>738</v>
      </c>
    </row>
    <row r="539" customFormat="false" ht="15" hidden="false" customHeight="true" outlineLevel="0" collapsed="false">
      <c r="A539" s="2" t="s">
        <v>741</v>
      </c>
      <c r="B539" s="3" t="n">
        <v>1</v>
      </c>
      <c r="C539" s="3" t="n">
        <v>5</v>
      </c>
      <c r="D539" s="4" t="s">
        <v>738</v>
      </c>
    </row>
    <row r="540" customFormat="false" ht="15" hidden="false" customHeight="true" outlineLevel="0" collapsed="false">
      <c r="A540" s="2" t="s">
        <v>742</v>
      </c>
      <c r="B540" s="3" t="n">
        <v>1</v>
      </c>
      <c r="C540" s="3" t="n">
        <v>6</v>
      </c>
      <c r="D540" s="4" t="s">
        <v>743</v>
      </c>
    </row>
    <row r="541" customFormat="false" ht="15" hidden="false" customHeight="true" outlineLevel="0" collapsed="false">
      <c r="A541" s="2" t="s">
        <v>744</v>
      </c>
      <c r="B541" s="3" t="n">
        <v>1</v>
      </c>
      <c r="C541" s="3" t="n">
        <v>6</v>
      </c>
      <c r="D541" s="4" t="s">
        <v>743</v>
      </c>
    </row>
    <row r="542" customFormat="false" ht="15" hidden="false" customHeight="true" outlineLevel="0" collapsed="false">
      <c r="A542" s="2" t="s">
        <v>745</v>
      </c>
      <c r="B542" s="3" t="n">
        <v>1</v>
      </c>
      <c r="C542" s="3" t="n">
        <v>6</v>
      </c>
      <c r="D542" s="4" t="s">
        <v>743</v>
      </c>
    </row>
    <row r="543" customFormat="false" ht="15" hidden="false" customHeight="true" outlineLevel="0" collapsed="false">
      <c r="A543" s="2" t="s">
        <v>746</v>
      </c>
      <c r="B543" s="3" t="n">
        <v>1</v>
      </c>
      <c r="C543" s="3" t="n">
        <v>6</v>
      </c>
      <c r="D543" s="4" t="s">
        <v>743</v>
      </c>
    </row>
    <row r="544" customFormat="false" ht="15" hidden="false" customHeight="true" outlineLevel="0" collapsed="false">
      <c r="A544" s="2" t="s">
        <v>747</v>
      </c>
      <c r="B544" s="3" t="n">
        <v>1</v>
      </c>
      <c r="C544" s="3" t="n">
        <v>9</v>
      </c>
      <c r="D544" s="4" t="s">
        <v>748</v>
      </c>
    </row>
    <row r="545" customFormat="false" ht="15" hidden="false" customHeight="true" outlineLevel="0" collapsed="false">
      <c r="A545" s="2" t="s">
        <v>749</v>
      </c>
      <c r="B545" s="3" t="n">
        <v>1</v>
      </c>
      <c r="C545" s="3" t="n">
        <v>9</v>
      </c>
      <c r="D545" s="4" t="s">
        <v>748</v>
      </c>
    </row>
    <row r="546" customFormat="false" ht="15" hidden="false" customHeight="true" outlineLevel="0" collapsed="false">
      <c r="A546" s="2" t="s">
        <v>750</v>
      </c>
      <c r="B546" s="3" t="n">
        <v>1</v>
      </c>
      <c r="C546" s="3" t="n">
        <v>9</v>
      </c>
      <c r="D546" s="4" t="s">
        <v>748</v>
      </c>
    </row>
    <row r="547" customFormat="false" ht="15" hidden="false" customHeight="true" outlineLevel="0" collapsed="false">
      <c r="A547" s="2" t="s">
        <v>751</v>
      </c>
      <c r="B547" s="3" t="n">
        <v>1</v>
      </c>
      <c r="C547" s="3" t="n">
        <v>9</v>
      </c>
      <c r="D547" s="4" t="s">
        <v>748</v>
      </c>
    </row>
    <row r="548" customFormat="false" ht="15" hidden="false" customHeight="true" outlineLevel="0" collapsed="false">
      <c r="A548" s="2" t="s">
        <v>752</v>
      </c>
      <c r="B548" s="3" t="n">
        <v>1</v>
      </c>
      <c r="C548" s="3" t="n">
        <v>9</v>
      </c>
      <c r="D548" s="4" t="s">
        <v>748</v>
      </c>
    </row>
    <row r="549" customFormat="false" ht="15" hidden="false" customHeight="true" outlineLevel="0" collapsed="false">
      <c r="A549" s="2" t="s">
        <v>753</v>
      </c>
      <c r="B549" s="3" t="n">
        <v>1</v>
      </c>
      <c r="C549" s="3" t="n">
        <v>9</v>
      </c>
      <c r="D549" s="4" t="s">
        <v>748</v>
      </c>
    </row>
    <row r="550" customFormat="false" ht="15" hidden="false" customHeight="true" outlineLevel="0" collapsed="false">
      <c r="A550" s="2" t="s">
        <v>754</v>
      </c>
      <c r="B550" s="3" t="n">
        <v>1</v>
      </c>
      <c r="C550" s="3" t="n">
        <v>10</v>
      </c>
      <c r="D550" s="4" t="s">
        <v>755</v>
      </c>
    </row>
    <row r="551" customFormat="false" ht="15" hidden="false" customHeight="true" outlineLevel="0" collapsed="false">
      <c r="A551" s="2" t="s">
        <v>756</v>
      </c>
      <c r="B551" s="3" t="n">
        <v>1</v>
      </c>
      <c r="C551" s="3" t="n">
        <v>8</v>
      </c>
      <c r="D551" s="4" t="s">
        <v>757</v>
      </c>
    </row>
    <row r="552" customFormat="false" ht="15" hidden="false" customHeight="true" outlineLevel="0" collapsed="false">
      <c r="A552" s="2" t="s">
        <v>758</v>
      </c>
      <c r="B552" s="3" t="n">
        <v>1</v>
      </c>
      <c r="C552" s="3" t="n">
        <v>4</v>
      </c>
      <c r="D552" s="4" t="s">
        <v>759</v>
      </c>
    </row>
    <row r="553" customFormat="false" ht="15" hidden="false" customHeight="true" outlineLevel="0" collapsed="false">
      <c r="A553" s="2" t="s">
        <v>760</v>
      </c>
      <c r="B553" s="3" t="n">
        <v>1</v>
      </c>
      <c r="C553" s="3" t="n">
        <v>4</v>
      </c>
      <c r="D553" s="4" t="s">
        <v>759</v>
      </c>
    </row>
    <row r="554" customFormat="false" ht="15" hidden="false" customHeight="true" outlineLevel="0" collapsed="false">
      <c r="A554" s="2" t="s">
        <v>761</v>
      </c>
      <c r="B554" s="3" t="n">
        <v>1</v>
      </c>
      <c r="C554" s="3" t="n">
        <v>4</v>
      </c>
      <c r="D554" s="4" t="s">
        <v>759</v>
      </c>
    </row>
    <row r="555" customFormat="false" ht="15" hidden="false" customHeight="true" outlineLevel="0" collapsed="false">
      <c r="A555" s="2" t="s">
        <v>762</v>
      </c>
      <c r="B555" s="3" t="n">
        <v>1</v>
      </c>
      <c r="C555" s="3" t="n">
        <v>4</v>
      </c>
      <c r="D555" s="4" t="s">
        <v>759</v>
      </c>
    </row>
    <row r="556" customFormat="false" ht="15" hidden="false" customHeight="true" outlineLevel="0" collapsed="false">
      <c r="A556" s="2" t="s">
        <v>763</v>
      </c>
      <c r="B556" s="3" t="n">
        <v>1</v>
      </c>
      <c r="C556" s="3" t="n">
        <v>4</v>
      </c>
      <c r="D556" s="4" t="s">
        <v>759</v>
      </c>
    </row>
    <row r="557" customFormat="false" ht="15" hidden="false" customHeight="true" outlineLevel="0" collapsed="false">
      <c r="A557" s="2" t="s">
        <v>764</v>
      </c>
      <c r="B557" s="3" t="n">
        <v>1</v>
      </c>
      <c r="C557" s="3" t="n">
        <v>4</v>
      </c>
      <c r="D557" s="4" t="s">
        <v>759</v>
      </c>
    </row>
    <row r="558" customFormat="false" ht="15" hidden="false" customHeight="true" outlineLevel="0" collapsed="false">
      <c r="A558" s="2" t="s">
        <v>765</v>
      </c>
      <c r="B558" s="3" t="n">
        <v>1</v>
      </c>
      <c r="C558" s="3" t="n">
        <v>4</v>
      </c>
      <c r="D558" s="4" t="s">
        <v>759</v>
      </c>
    </row>
    <row r="559" customFormat="false" ht="15" hidden="false" customHeight="true" outlineLevel="0" collapsed="false">
      <c r="A559" s="2" t="s">
        <v>766</v>
      </c>
      <c r="B559" s="3" t="n">
        <v>1</v>
      </c>
      <c r="C559" s="3" t="n">
        <v>4</v>
      </c>
      <c r="D559" s="4" t="s">
        <v>759</v>
      </c>
    </row>
    <row r="560" customFormat="false" ht="15" hidden="false" customHeight="true" outlineLevel="0" collapsed="false">
      <c r="A560" s="2" t="s">
        <v>767</v>
      </c>
      <c r="B560" s="3" t="n">
        <v>1</v>
      </c>
      <c r="C560" s="3" t="n">
        <v>4</v>
      </c>
      <c r="D560" s="4" t="s">
        <v>759</v>
      </c>
    </row>
    <row r="561" customFormat="false" ht="15" hidden="false" customHeight="true" outlineLevel="0" collapsed="false">
      <c r="A561" s="2" t="s">
        <v>768</v>
      </c>
      <c r="B561" s="3" t="n">
        <v>1</v>
      </c>
      <c r="C561" s="3" t="n">
        <v>4</v>
      </c>
      <c r="D561" s="4" t="s">
        <v>759</v>
      </c>
    </row>
    <row r="562" customFormat="false" ht="15" hidden="false" customHeight="true" outlineLevel="0" collapsed="false">
      <c r="A562" s="2" t="s">
        <v>769</v>
      </c>
      <c r="B562" s="3" t="n">
        <v>1</v>
      </c>
      <c r="C562" s="3" t="n">
        <v>6</v>
      </c>
      <c r="D562" s="4" t="s">
        <v>770</v>
      </c>
    </row>
    <row r="563" customFormat="false" ht="15" hidden="false" customHeight="true" outlineLevel="0" collapsed="false">
      <c r="A563" s="2" t="s">
        <v>771</v>
      </c>
      <c r="B563" s="3" t="n">
        <v>1</v>
      </c>
      <c r="C563" s="3" t="n">
        <v>6</v>
      </c>
      <c r="D563" s="4" t="s">
        <v>770</v>
      </c>
    </row>
    <row r="564" customFormat="false" ht="15" hidden="false" customHeight="true" outlineLevel="0" collapsed="false">
      <c r="A564" s="2" t="s">
        <v>772</v>
      </c>
      <c r="B564" s="3" t="n">
        <v>1</v>
      </c>
      <c r="C564" s="3" t="n">
        <v>6</v>
      </c>
      <c r="D564" s="4" t="s">
        <v>770</v>
      </c>
    </row>
    <row r="565" customFormat="false" ht="15" hidden="false" customHeight="true" outlineLevel="0" collapsed="false">
      <c r="A565" s="2" t="s">
        <v>773</v>
      </c>
      <c r="B565" s="3" t="n">
        <v>1</v>
      </c>
      <c r="C565" s="3" t="n">
        <v>6</v>
      </c>
      <c r="D565" s="4" t="s">
        <v>770</v>
      </c>
    </row>
    <row r="566" customFormat="false" ht="15" hidden="false" customHeight="true" outlineLevel="0" collapsed="false">
      <c r="A566" s="2" t="s">
        <v>774</v>
      </c>
      <c r="B566" s="3" t="n">
        <v>1</v>
      </c>
      <c r="C566" s="3" t="n">
        <v>6</v>
      </c>
      <c r="D566" s="4" t="s">
        <v>770</v>
      </c>
    </row>
    <row r="567" customFormat="false" ht="15" hidden="false" customHeight="true" outlineLevel="0" collapsed="false">
      <c r="A567" s="2" t="s">
        <v>775</v>
      </c>
      <c r="B567" s="3" t="n">
        <v>1</v>
      </c>
      <c r="C567" s="3" t="n">
        <v>6</v>
      </c>
      <c r="D567" s="4" t="s">
        <v>770</v>
      </c>
    </row>
    <row r="568" customFormat="false" ht="15" hidden="false" customHeight="true" outlineLevel="0" collapsed="false">
      <c r="A568" s="2" t="s">
        <v>776</v>
      </c>
      <c r="B568" s="3" t="n">
        <v>1</v>
      </c>
      <c r="C568" s="3" t="n">
        <v>6</v>
      </c>
      <c r="D568" s="4" t="s">
        <v>770</v>
      </c>
    </row>
    <row r="569" customFormat="false" ht="15" hidden="false" customHeight="true" outlineLevel="0" collapsed="false">
      <c r="A569" s="2" t="s">
        <v>777</v>
      </c>
      <c r="B569" s="3" t="n">
        <v>1</v>
      </c>
      <c r="C569" s="3" t="n">
        <v>6</v>
      </c>
      <c r="D569" s="4" t="s">
        <v>770</v>
      </c>
    </row>
    <row r="570" customFormat="false" ht="15" hidden="false" customHeight="true" outlineLevel="0" collapsed="false">
      <c r="A570" s="2" t="s">
        <v>778</v>
      </c>
      <c r="B570" s="3" t="n">
        <v>1</v>
      </c>
      <c r="C570" s="3" t="n">
        <v>6</v>
      </c>
      <c r="D570" s="4" t="s">
        <v>779</v>
      </c>
    </row>
    <row r="571" customFormat="false" ht="15" hidden="false" customHeight="true" outlineLevel="0" collapsed="false">
      <c r="A571" s="2" t="s">
        <v>780</v>
      </c>
      <c r="B571" s="3" t="n">
        <v>1</v>
      </c>
      <c r="C571" s="3" t="n">
        <v>6</v>
      </c>
      <c r="D571" s="4" t="s">
        <v>779</v>
      </c>
    </row>
    <row r="572" customFormat="false" ht="15" hidden="false" customHeight="true" outlineLevel="0" collapsed="false">
      <c r="A572" s="2" t="s">
        <v>781</v>
      </c>
      <c r="B572" s="3" t="n">
        <v>1</v>
      </c>
      <c r="C572" s="3" t="n">
        <v>6</v>
      </c>
      <c r="D572" s="4" t="s">
        <v>779</v>
      </c>
    </row>
    <row r="573" customFormat="false" ht="15" hidden="false" customHeight="true" outlineLevel="0" collapsed="false">
      <c r="A573" s="2" t="s">
        <v>782</v>
      </c>
      <c r="B573" s="3" t="n">
        <v>1</v>
      </c>
      <c r="C573" s="3" t="n">
        <v>6</v>
      </c>
      <c r="D573" s="4" t="s">
        <v>779</v>
      </c>
    </row>
    <row r="574" customFormat="false" ht="15" hidden="false" customHeight="true" outlineLevel="0" collapsed="false">
      <c r="A574" s="2" t="s">
        <v>783</v>
      </c>
      <c r="B574" s="3" t="n">
        <v>1</v>
      </c>
      <c r="C574" s="3" t="n">
        <v>6</v>
      </c>
      <c r="D574" s="4" t="s">
        <v>779</v>
      </c>
    </row>
    <row r="575" customFormat="false" ht="15" hidden="false" customHeight="true" outlineLevel="0" collapsed="false">
      <c r="A575" s="2" t="s">
        <v>588</v>
      </c>
      <c r="B575" s="3" t="n">
        <v>1</v>
      </c>
      <c r="C575" s="3" t="n">
        <v>6</v>
      </c>
      <c r="D575" s="4" t="s">
        <v>784</v>
      </c>
    </row>
    <row r="576" customFormat="false" ht="15" hidden="false" customHeight="true" outlineLevel="0" collapsed="false">
      <c r="A576" s="2" t="s">
        <v>615</v>
      </c>
      <c r="B576" s="3" t="n">
        <v>1</v>
      </c>
      <c r="C576" s="3" t="n">
        <v>6</v>
      </c>
      <c r="D576" s="4" t="s">
        <v>784</v>
      </c>
    </row>
    <row r="577" customFormat="false" ht="15" hidden="false" customHeight="true" outlineLevel="0" collapsed="false">
      <c r="A577" s="2" t="s">
        <v>785</v>
      </c>
      <c r="B577" s="3" t="n">
        <v>1</v>
      </c>
      <c r="C577" s="3" t="n">
        <v>6</v>
      </c>
      <c r="D577" s="4" t="s">
        <v>784</v>
      </c>
    </row>
    <row r="578" customFormat="false" ht="15" hidden="false" customHeight="true" outlineLevel="0" collapsed="false">
      <c r="A578" s="2" t="s">
        <v>786</v>
      </c>
      <c r="B578" s="3" t="n">
        <v>1</v>
      </c>
      <c r="C578" s="3" t="n">
        <v>6</v>
      </c>
      <c r="D578" s="4" t="s">
        <v>784</v>
      </c>
    </row>
    <row r="579" customFormat="false" ht="15" hidden="false" customHeight="true" outlineLevel="0" collapsed="false">
      <c r="A579" s="2" t="s">
        <v>787</v>
      </c>
      <c r="B579" s="3" t="n">
        <v>1</v>
      </c>
      <c r="C579" s="3" t="n">
        <v>8</v>
      </c>
      <c r="D579" s="4" t="s">
        <v>788</v>
      </c>
    </row>
    <row r="580" customFormat="false" ht="15" hidden="false" customHeight="true" outlineLevel="0" collapsed="false">
      <c r="A580" s="2" t="s">
        <v>789</v>
      </c>
      <c r="B580" s="3" t="n">
        <v>1</v>
      </c>
      <c r="C580" s="3" t="n">
        <v>8</v>
      </c>
      <c r="D580" s="4" t="s">
        <v>790</v>
      </c>
    </row>
    <row r="581" customFormat="false" ht="15" hidden="false" customHeight="true" outlineLevel="0" collapsed="false">
      <c r="A581" s="2" t="s">
        <v>791</v>
      </c>
      <c r="B581" s="3" t="n">
        <v>1</v>
      </c>
      <c r="C581" s="3" t="n">
        <v>8</v>
      </c>
      <c r="D581" s="4" t="s">
        <v>790</v>
      </c>
    </row>
    <row r="582" customFormat="false" ht="15" hidden="false" customHeight="true" outlineLevel="0" collapsed="false">
      <c r="A582" s="2" t="s">
        <v>792</v>
      </c>
      <c r="B582" s="3" t="n">
        <v>1</v>
      </c>
      <c r="C582" s="3" t="n">
        <v>8</v>
      </c>
      <c r="D582" s="4" t="s">
        <v>790</v>
      </c>
    </row>
    <row r="583" customFormat="false" ht="15" hidden="false" customHeight="true" outlineLevel="0" collapsed="false">
      <c r="A583" s="2" t="s">
        <v>793</v>
      </c>
      <c r="B583" s="3" t="n">
        <v>1</v>
      </c>
      <c r="C583" s="3" t="n">
        <v>8</v>
      </c>
      <c r="D583" s="4" t="s">
        <v>790</v>
      </c>
    </row>
    <row r="584" customFormat="false" ht="15" hidden="false" customHeight="true" outlineLevel="0" collapsed="false">
      <c r="A584" s="2" t="s">
        <v>794</v>
      </c>
      <c r="B584" s="3" t="n">
        <v>1</v>
      </c>
      <c r="C584" s="3" t="n">
        <v>8</v>
      </c>
      <c r="D584" s="4" t="s">
        <v>790</v>
      </c>
    </row>
    <row r="585" customFormat="false" ht="15" hidden="false" customHeight="true" outlineLevel="0" collapsed="false">
      <c r="A585" s="2" t="s">
        <v>795</v>
      </c>
      <c r="B585" s="3" t="n">
        <v>1</v>
      </c>
      <c r="C585" s="3" t="n">
        <v>8</v>
      </c>
      <c r="D585" s="4" t="s">
        <v>790</v>
      </c>
    </row>
    <row r="586" customFormat="false" ht="15" hidden="false" customHeight="true" outlineLevel="0" collapsed="false">
      <c r="A586" s="2" t="s">
        <v>796</v>
      </c>
      <c r="B586" s="3" t="n">
        <v>1</v>
      </c>
      <c r="C586" s="3" t="n">
        <v>8</v>
      </c>
      <c r="D586" s="4" t="s">
        <v>790</v>
      </c>
    </row>
    <row r="587" customFormat="false" ht="15" hidden="false" customHeight="true" outlineLevel="0" collapsed="false">
      <c r="A587" s="2" t="s">
        <v>797</v>
      </c>
      <c r="B587" s="3" t="n">
        <v>1</v>
      </c>
      <c r="C587" s="3" t="n">
        <v>8</v>
      </c>
      <c r="D587" s="4" t="s">
        <v>790</v>
      </c>
    </row>
    <row r="588" customFormat="false" ht="15" hidden="false" customHeight="true" outlineLevel="0" collapsed="false">
      <c r="A588" s="2" t="s">
        <v>798</v>
      </c>
      <c r="B588" s="3" t="n">
        <v>1</v>
      </c>
      <c r="C588" s="3" t="n">
        <v>8</v>
      </c>
      <c r="D588" s="4" t="s">
        <v>790</v>
      </c>
    </row>
    <row r="589" customFormat="false" ht="15" hidden="false" customHeight="true" outlineLevel="0" collapsed="false">
      <c r="A589" s="2" t="s">
        <v>799</v>
      </c>
      <c r="B589" s="3" t="n">
        <v>1</v>
      </c>
      <c r="C589" s="3" t="n">
        <v>8</v>
      </c>
      <c r="D589" s="4" t="s">
        <v>790</v>
      </c>
    </row>
    <row r="590" customFormat="false" ht="15" hidden="false" customHeight="true" outlineLevel="0" collapsed="false">
      <c r="A590" s="2" t="s">
        <v>800</v>
      </c>
      <c r="B590" s="3" t="n">
        <v>1</v>
      </c>
      <c r="C590" s="3" t="n">
        <v>5</v>
      </c>
      <c r="D590" s="4" t="s">
        <v>801</v>
      </c>
    </row>
    <row r="591" customFormat="false" ht="15" hidden="false" customHeight="true" outlineLevel="0" collapsed="false">
      <c r="A591" s="2" t="s">
        <v>802</v>
      </c>
      <c r="B591" s="3" t="n">
        <v>1</v>
      </c>
      <c r="C591" s="3" t="n">
        <v>5</v>
      </c>
      <c r="D591" s="4" t="s">
        <v>801</v>
      </c>
    </row>
    <row r="592" customFormat="false" ht="15" hidden="false" customHeight="true" outlineLevel="0" collapsed="false">
      <c r="A592" s="2" t="s">
        <v>803</v>
      </c>
      <c r="B592" s="3" t="n">
        <v>1</v>
      </c>
      <c r="C592" s="3" t="n">
        <v>5</v>
      </c>
      <c r="D592" s="4" t="s">
        <v>801</v>
      </c>
    </row>
    <row r="593" customFormat="false" ht="15" hidden="false" customHeight="true" outlineLevel="0" collapsed="false">
      <c r="A593" s="2" t="s">
        <v>804</v>
      </c>
      <c r="B593" s="3" t="n">
        <v>1</v>
      </c>
      <c r="C593" s="3" t="n">
        <v>12</v>
      </c>
      <c r="D593" s="4" t="s">
        <v>805</v>
      </c>
    </row>
    <row r="594" customFormat="false" ht="15" hidden="false" customHeight="true" outlineLevel="0" collapsed="false">
      <c r="A594" s="2" t="s">
        <v>806</v>
      </c>
      <c r="B594" s="3" t="n">
        <v>1</v>
      </c>
      <c r="C594" s="3" t="n">
        <v>12</v>
      </c>
      <c r="D594" s="4" t="s">
        <v>805</v>
      </c>
    </row>
    <row r="595" customFormat="false" ht="15" hidden="false" customHeight="true" outlineLevel="0" collapsed="false">
      <c r="A595" s="2" t="s">
        <v>807</v>
      </c>
      <c r="B595" s="3" t="n">
        <v>1</v>
      </c>
      <c r="C595" s="3" t="n">
        <v>12</v>
      </c>
      <c r="D595" s="4" t="s">
        <v>805</v>
      </c>
    </row>
    <row r="596" customFormat="false" ht="15" hidden="false" customHeight="true" outlineLevel="0" collapsed="false">
      <c r="A596" s="2" t="s">
        <v>808</v>
      </c>
      <c r="B596" s="3" t="n">
        <v>1</v>
      </c>
      <c r="C596" s="3" t="n">
        <v>12</v>
      </c>
      <c r="D596" s="4" t="s">
        <v>805</v>
      </c>
    </row>
    <row r="597" customFormat="false" ht="15" hidden="false" customHeight="true" outlineLevel="0" collapsed="false">
      <c r="A597" s="2" t="s">
        <v>809</v>
      </c>
      <c r="B597" s="3" t="n">
        <v>1</v>
      </c>
      <c r="C597" s="3" t="n">
        <v>12</v>
      </c>
      <c r="D597" s="4" t="s">
        <v>805</v>
      </c>
    </row>
    <row r="598" customFormat="false" ht="15" hidden="false" customHeight="true" outlineLevel="0" collapsed="false">
      <c r="A598" s="2" t="s">
        <v>810</v>
      </c>
      <c r="B598" s="3" t="n">
        <v>1</v>
      </c>
      <c r="C598" s="3" t="n">
        <v>12</v>
      </c>
      <c r="D598" s="4" t="s">
        <v>805</v>
      </c>
    </row>
    <row r="599" customFormat="false" ht="15" hidden="false" customHeight="true" outlineLevel="0" collapsed="false">
      <c r="A599" s="2" t="s">
        <v>811</v>
      </c>
      <c r="B599" s="3" t="n">
        <v>1</v>
      </c>
      <c r="C599" s="3" t="n">
        <v>12</v>
      </c>
      <c r="D599" s="4" t="s">
        <v>805</v>
      </c>
    </row>
    <row r="600" customFormat="false" ht="15" hidden="false" customHeight="true" outlineLevel="0" collapsed="false">
      <c r="A600" s="2" t="s">
        <v>812</v>
      </c>
      <c r="B600" s="3" t="n">
        <v>1</v>
      </c>
      <c r="C600" s="3" t="n">
        <v>12</v>
      </c>
      <c r="D600" s="4" t="s">
        <v>805</v>
      </c>
    </row>
    <row r="601" customFormat="false" ht="15" hidden="false" customHeight="true" outlineLevel="0" collapsed="false">
      <c r="A601" s="2" t="s">
        <v>813</v>
      </c>
      <c r="B601" s="3" t="n">
        <v>1</v>
      </c>
      <c r="C601" s="3" t="n">
        <v>12</v>
      </c>
      <c r="D601" s="4" t="s">
        <v>805</v>
      </c>
    </row>
    <row r="602" customFormat="false" ht="15" hidden="false" customHeight="true" outlineLevel="0" collapsed="false">
      <c r="A602" s="2" t="s">
        <v>814</v>
      </c>
      <c r="B602" s="3" t="n">
        <v>1</v>
      </c>
      <c r="C602" s="3" t="n">
        <v>12</v>
      </c>
      <c r="D602" s="4" t="s">
        <v>805</v>
      </c>
    </row>
    <row r="603" customFormat="false" ht="15" hidden="false" customHeight="true" outlineLevel="0" collapsed="false">
      <c r="A603" s="2" t="s">
        <v>815</v>
      </c>
      <c r="B603" s="3" t="n">
        <v>1</v>
      </c>
      <c r="C603" s="3" t="n">
        <v>12</v>
      </c>
      <c r="D603" s="4" t="s">
        <v>805</v>
      </c>
    </row>
    <row r="604" customFormat="false" ht="15" hidden="false" customHeight="true" outlineLevel="0" collapsed="false">
      <c r="A604" s="2" t="s">
        <v>816</v>
      </c>
      <c r="B604" s="3" t="n">
        <v>1</v>
      </c>
      <c r="C604" s="3" t="n">
        <v>12</v>
      </c>
      <c r="D604" s="4" t="s">
        <v>805</v>
      </c>
    </row>
    <row r="605" customFormat="false" ht="15" hidden="false" customHeight="true" outlineLevel="0" collapsed="false">
      <c r="A605" s="2" t="s">
        <v>817</v>
      </c>
      <c r="B605" s="3" t="n">
        <v>1</v>
      </c>
      <c r="C605" s="3" t="n">
        <v>12</v>
      </c>
      <c r="D605" s="4" t="s">
        <v>805</v>
      </c>
    </row>
    <row r="606" customFormat="false" ht="15" hidden="false" customHeight="true" outlineLevel="0" collapsed="false">
      <c r="A606" s="2" t="s">
        <v>818</v>
      </c>
      <c r="B606" s="3" t="n">
        <v>1</v>
      </c>
      <c r="C606" s="3" t="n">
        <v>13</v>
      </c>
      <c r="D606" s="4" t="s">
        <v>819</v>
      </c>
    </row>
    <row r="607" customFormat="false" ht="15" hidden="false" customHeight="true" outlineLevel="0" collapsed="false">
      <c r="A607" s="2" t="s">
        <v>820</v>
      </c>
      <c r="B607" s="3" t="n">
        <v>1</v>
      </c>
      <c r="C607" s="3" t="n">
        <v>13</v>
      </c>
      <c r="D607" s="4" t="s">
        <v>819</v>
      </c>
    </row>
    <row r="608" customFormat="false" ht="15" hidden="false" customHeight="true" outlineLevel="0" collapsed="false">
      <c r="A608" s="2" t="s">
        <v>821</v>
      </c>
      <c r="B608" s="3" t="n">
        <v>1</v>
      </c>
      <c r="C608" s="3" t="n">
        <v>13</v>
      </c>
      <c r="D608" s="4" t="s">
        <v>819</v>
      </c>
    </row>
    <row r="609" customFormat="false" ht="15" hidden="false" customHeight="true" outlineLevel="0" collapsed="false">
      <c r="A609" s="2" t="s">
        <v>822</v>
      </c>
      <c r="B609" s="3" t="n">
        <v>1</v>
      </c>
      <c r="C609" s="3" t="n">
        <v>13</v>
      </c>
      <c r="D609" s="4" t="s">
        <v>819</v>
      </c>
    </row>
    <row r="610" customFormat="false" ht="15" hidden="false" customHeight="true" outlineLevel="0" collapsed="false">
      <c r="A610" s="2" t="s">
        <v>823</v>
      </c>
      <c r="B610" s="3" t="n">
        <v>1</v>
      </c>
      <c r="C610" s="3" t="n">
        <v>13</v>
      </c>
      <c r="D610" s="4" t="s">
        <v>819</v>
      </c>
    </row>
    <row r="611" customFormat="false" ht="15" hidden="false" customHeight="true" outlineLevel="0" collapsed="false">
      <c r="A611" s="2" t="s">
        <v>824</v>
      </c>
      <c r="B611" s="3" t="n">
        <v>1</v>
      </c>
      <c r="C611" s="3" t="n">
        <v>13</v>
      </c>
      <c r="D611" s="4" t="s">
        <v>819</v>
      </c>
    </row>
    <row r="612" customFormat="false" ht="15" hidden="false" customHeight="true" outlineLevel="0" collapsed="false">
      <c r="A612" s="2" t="s">
        <v>825</v>
      </c>
      <c r="B612" s="3" t="n">
        <v>1</v>
      </c>
      <c r="C612" s="3" t="n">
        <v>13</v>
      </c>
      <c r="D612" s="4" t="s">
        <v>819</v>
      </c>
    </row>
    <row r="613" customFormat="false" ht="15" hidden="false" customHeight="true" outlineLevel="0" collapsed="false">
      <c r="A613" s="2" t="s">
        <v>826</v>
      </c>
      <c r="B613" s="3" t="n">
        <v>1</v>
      </c>
      <c r="C613" s="3" t="n">
        <v>13</v>
      </c>
      <c r="D613" s="4" t="s">
        <v>819</v>
      </c>
    </row>
    <row r="614" customFormat="false" ht="15" hidden="false" customHeight="true" outlineLevel="0" collapsed="false">
      <c r="A614" s="2" t="s">
        <v>827</v>
      </c>
      <c r="B614" s="3" t="n">
        <v>1</v>
      </c>
      <c r="C614" s="3" t="n">
        <v>4</v>
      </c>
      <c r="D614" s="4" t="s">
        <v>828</v>
      </c>
    </row>
    <row r="615" customFormat="false" ht="15" hidden="false" customHeight="true" outlineLevel="0" collapsed="false">
      <c r="A615" s="2" t="s">
        <v>829</v>
      </c>
      <c r="B615" s="3" t="n">
        <v>1</v>
      </c>
      <c r="C615" s="3" t="n">
        <v>3</v>
      </c>
      <c r="D615" s="4" t="s">
        <v>830</v>
      </c>
    </row>
    <row r="616" customFormat="false" ht="15" hidden="false" customHeight="true" outlineLevel="0" collapsed="false">
      <c r="A616" s="2" t="s">
        <v>831</v>
      </c>
      <c r="B616" s="3" t="n">
        <v>1</v>
      </c>
      <c r="C616" s="3" t="n">
        <v>3</v>
      </c>
      <c r="D616" s="4" t="s">
        <v>830</v>
      </c>
    </row>
    <row r="617" customFormat="false" ht="15" hidden="false" customHeight="true" outlineLevel="0" collapsed="false">
      <c r="A617" s="2" t="s">
        <v>832</v>
      </c>
      <c r="B617" s="3" t="n">
        <v>1</v>
      </c>
      <c r="C617" s="3" t="n">
        <v>3</v>
      </c>
      <c r="D617" s="4" t="s">
        <v>830</v>
      </c>
    </row>
    <row r="618" customFormat="false" ht="15" hidden="false" customHeight="true" outlineLevel="0" collapsed="false">
      <c r="A618" s="2" t="s">
        <v>833</v>
      </c>
      <c r="B618" s="3" t="n">
        <v>1</v>
      </c>
      <c r="C618" s="3" t="n">
        <v>3</v>
      </c>
      <c r="D618" s="4" t="s">
        <v>830</v>
      </c>
    </row>
    <row r="619" customFormat="false" ht="15" hidden="false" customHeight="true" outlineLevel="0" collapsed="false">
      <c r="A619" s="2" t="s">
        <v>834</v>
      </c>
      <c r="B619" s="3" t="n">
        <v>1</v>
      </c>
      <c r="C619" s="3" t="n">
        <v>3</v>
      </c>
      <c r="D619" s="4" t="s">
        <v>830</v>
      </c>
    </row>
    <row r="620" customFormat="false" ht="15" hidden="false" customHeight="true" outlineLevel="0" collapsed="false">
      <c r="A620" s="2" t="s">
        <v>835</v>
      </c>
      <c r="B620" s="3" t="n">
        <v>1</v>
      </c>
      <c r="C620" s="3" t="n">
        <v>3</v>
      </c>
      <c r="D620" s="4" t="s">
        <v>830</v>
      </c>
    </row>
    <row r="621" customFormat="false" ht="15" hidden="false" customHeight="true" outlineLevel="0" collapsed="false">
      <c r="A621" s="2" t="s">
        <v>836</v>
      </c>
      <c r="B621" s="3" t="n">
        <v>1</v>
      </c>
      <c r="C621" s="3" t="n">
        <v>3</v>
      </c>
      <c r="D621" s="4" t="s">
        <v>830</v>
      </c>
    </row>
    <row r="622" customFormat="false" ht="15" hidden="false" customHeight="true" outlineLevel="0" collapsed="false">
      <c r="A622" s="2" t="s">
        <v>837</v>
      </c>
      <c r="B622" s="3" t="n">
        <v>1</v>
      </c>
      <c r="C622" s="3" t="n">
        <v>3</v>
      </c>
      <c r="D622" s="4" t="s">
        <v>830</v>
      </c>
    </row>
    <row r="623" customFormat="false" ht="15" hidden="false" customHeight="true" outlineLevel="0" collapsed="false">
      <c r="A623" s="2" t="s">
        <v>838</v>
      </c>
      <c r="B623" s="3" t="n">
        <v>1</v>
      </c>
      <c r="C623" s="3" t="n">
        <v>3</v>
      </c>
      <c r="D623" s="4" t="s">
        <v>830</v>
      </c>
    </row>
    <row r="624" customFormat="false" ht="15" hidden="false" customHeight="true" outlineLevel="0" collapsed="false">
      <c r="A624" s="2" t="s">
        <v>839</v>
      </c>
      <c r="B624" s="3" t="n">
        <v>1</v>
      </c>
      <c r="C624" s="3" t="n">
        <v>3</v>
      </c>
      <c r="D624" s="4" t="s">
        <v>830</v>
      </c>
    </row>
    <row r="625" customFormat="false" ht="15" hidden="false" customHeight="true" outlineLevel="0" collapsed="false">
      <c r="A625" s="2" t="s">
        <v>840</v>
      </c>
      <c r="B625" s="3" t="n">
        <v>1</v>
      </c>
      <c r="C625" s="3" t="n">
        <v>3</v>
      </c>
      <c r="D625" s="4" t="s">
        <v>830</v>
      </c>
    </row>
    <row r="626" customFormat="false" ht="15" hidden="false" customHeight="true" outlineLevel="0" collapsed="false">
      <c r="A626" s="2" t="s">
        <v>841</v>
      </c>
      <c r="B626" s="3" t="n">
        <v>1</v>
      </c>
      <c r="C626" s="3" t="n">
        <v>3</v>
      </c>
      <c r="D626" s="4" t="s">
        <v>830</v>
      </c>
    </row>
    <row r="627" customFormat="false" ht="15" hidden="false" customHeight="true" outlineLevel="0" collapsed="false">
      <c r="A627" s="2" t="s">
        <v>842</v>
      </c>
      <c r="B627" s="3" t="n">
        <v>1</v>
      </c>
      <c r="C627" s="3" t="n">
        <v>3</v>
      </c>
      <c r="D627" s="4" t="s">
        <v>830</v>
      </c>
    </row>
    <row r="628" customFormat="false" ht="15" hidden="false" customHeight="true" outlineLevel="0" collapsed="false">
      <c r="A628" s="2" t="s">
        <v>843</v>
      </c>
      <c r="B628" s="3" t="n">
        <v>1</v>
      </c>
      <c r="C628" s="3" t="n">
        <v>3</v>
      </c>
      <c r="D628" s="4" t="s">
        <v>830</v>
      </c>
    </row>
    <row r="629" customFormat="false" ht="15" hidden="false" customHeight="true" outlineLevel="0" collapsed="false">
      <c r="A629" s="2" t="s">
        <v>844</v>
      </c>
      <c r="B629" s="3" t="n">
        <v>1</v>
      </c>
      <c r="C629" s="3" t="n">
        <v>3</v>
      </c>
      <c r="D629" s="4" t="s">
        <v>830</v>
      </c>
    </row>
    <row r="630" customFormat="false" ht="15" hidden="false" customHeight="true" outlineLevel="0" collapsed="false">
      <c r="A630" s="2" t="s">
        <v>845</v>
      </c>
      <c r="B630" s="3" t="n">
        <v>1</v>
      </c>
      <c r="C630" s="3" t="n">
        <v>3</v>
      </c>
      <c r="D630" s="4" t="s">
        <v>830</v>
      </c>
    </row>
    <row r="631" customFormat="false" ht="15" hidden="false" customHeight="true" outlineLevel="0" collapsed="false">
      <c r="A631" s="2" t="s">
        <v>846</v>
      </c>
      <c r="B631" s="3" t="n">
        <v>1</v>
      </c>
      <c r="C631" s="3" t="n">
        <v>3</v>
      </c>
      <c r="D631" s="4" t="s">
        <v>830</v>
      </c>
    </row>
    <row r="632" customFormat="false" ht="15" hidden="false" customHeight="true" outlineLevel="0" collapsed="false">
      <c r="A632" s="2" t="s">
        <v>847</v>
      </c>
      <c r="B632" s="3" t="n">
        <v>1</v>
      </c>
      <c r="C632" s="3" t="n">
        <v>3</v>
      </c>
      <c r="D632" s="4" t="s">
        <v>830</v>
      </c>
    </row>
    <row r="633" customFormat="false" ht="15" hidden="false" customHeight="true" outlineLevel="0" collapsed="false">
      <c r="A633" s="2" t="s">
        <v>848</v>
      </c>
      <c r="B633" s="3" t="n">
        <v>1</v>
      </c>
      <c r="C633" s="3" t="n">
        <v>3</v>
      </c>
      <c r="D633" s="4" t="s">
        <v>830</v>
      </c>
    </row>
    <row r="634" customFormat="false" ht="15" hidden="false" customHeight="true" outlineLevel="0" collapsed="false">
      <c r="A634" s="2" t="s">
        <v>849</v>
      </c>
      <c r="B634" s="3" t="n">
        <v>1</v>
      </c>
      <c r="C634" s="3" t="n">
        <v>3</v>
      </c>
      <c r="D634" s="4" t="s">
        <v>830</v>
      </c>
    </row>
    <row r="635" customFormat="false" ht="15" hidden="false" customHeight="true" outlineLevel="0" collapsed="false">
      <c r="A635" s="2" t="s">
        <v>850</v>
      </c>
      <c r="B635" s="3" t="n">
        <v>1</v>
      </c>
      <c r="C635" s="3" t="n">
        <v>3</v>
      </c>
      <c r="D635" s="4" t="s">
        <v>830</v>
      </c>
    </row>
    <row r="636" customFormat="false" ht="15" hidden="false" customHeight="true" outlineLevel="0" collapsed="false">
      <c r="A636" s="2" t="s">
        <v>851</v>
      </c>
      <c r="B636" s="3" t="n">
        <v>1</v>
      </c>
      <c r="C636" s="3" t="n">
        <v>3</v>
      </c>
      <c r="D636" s="4" t="s">
        <v>830</v>
      </c>
    </row>
    <row r="637" customFormat="false" ht="15" hidden="false" customHeight="true" outlineLevel="0" collapsed="false">
      <c r="A637" s="2" t="s">
        <v>852</v>
      </c>
      <c r="B637" s="3" t="n">
        <v>1</v>
      </c>
      <c r="C637" s="3" t="n">
        <v>3</v>
      </c>
      <c r="D637" s="4" t="s">
        <v>830</v>
      </c>
    </row>
    <row r="638" customFormat="false" ht="15" hidden="false" customHeight="true" outlineLevel="0" collapsed="false">
      <c r="A638" s="2" t="s">
        <v>853</v>
      </c>
      <c r="B638" s="3" t="n">
        <v>1</v>
      </c>
      <c r="C638" s="3" t="n">
        <v>8</v>
      </c>
      <c r="D638" s="4" t="s">
        <v>854</v>
      </c>
    </row>
    <row r="639" customFormat="false" ht="15" hidden="false" customHeight="true" outlineLevel="0" collapsed="false">
      <c r="A639" s="2" t="s">
        <v>855</v>
      </c>
      <c r="B639" s="3" t="n">
        <v>1</v>
      </c>
      <c r="C639" s="3" t="n">
        <v>8</v>
      </c>
      <c r="D639" s="4" t="s">
        <v>854</v>
      </c>
    </row>
    <row r="640" customFormat="false" ht="15" hidden="false" customHeight="true" outlineLevel="0" collapsed="false">
      <c r="A640" s="2" t="s">
        <v>856</v>
      </c>
      <c r="B640" s="3" t="n">
        <v>1</v>
      </c>
      <c r="C640" s="3" t="n">
        <v>8</v>
      </c>
      <c r="D640" s="4" t="s">
        <v>854</v>
      </c>
    </row>
    <row r="641" customFormat="false" ht="15" hidden="false" customHeight="true" outlineLevel="0" collapsed="false">
      <c r="A641" s="2" t="s">
        <v>857</v>
      </c>
      <c r="B641" s="3" t="n">
        <v>1</v>
      </c>
      <c r="C641" s="3" t="n">
        <v>8</v>
      </c>
      <c r="D641" s="4" t="s">
        <v>854</v>
      </c>
    </row>
    <row r="642" customFormat="false" ht="15" hidden="false" customHeight="true" outlineLevel="0" collapsed="false">
      <c r="A642" s="2" t="s">
        <v>858</v>
      </c>
      <c r="B642" s="3" t="n">
        <v>1</v>
      </c>
      <c r="C642" s="3" t="n">
        <v>8</v>
      </c>
      <c r="D642" s="4" t="s">
        <v>854</v>
      </c>
    </row>
    <row r="643" customFormat="false" ht="15" hidden="false" customHeight="true" outlineLevel="0" collapsed="false">
      <c r="A643" s="2" t="s">
        <v>859</v>
      </c>
      <c r="B643" s="3" t="n">
        <v>1</v>
      </c>
      <c r="C643" s="3" t="n">
        <v>8</v>
      </c>
      <c r="D643" s="4" t="s">
        <v>854</v>
      </c>
    </row>
    <row r="644" customFormat="false" ht="15" hidden="false" customHeight="true" outlineLevel="0" collapsed="false">
      <c r="A644" s="2" t="s">
        <v>860</v>
      </c>
      <c r="B644" s="3" t="n">
        <v>1</v>
      </c>
      <c r="C644" s="3" t="n">
        <v>8</v>
      </c>
      <c r="D644" s="4" t="s">
        <v>854</v>
      </c>
    </row>
    <row r="645" customFormat="false" ht="15" hidden="false" customHeight="true" outlineLevel="0" collapsed="false">
      <c r="A645" s="2" t="s">
        <v>861</v>
      </c>
      <c r="B645" s="3" t="n">
        <v>1</v>
      </c>
      <c r="C645" s="3" t="n">
        <v>8</v>
      </c>
      <c r="D645" s="4" t="s">
        <v>854</v>
      </c>
    </row>
    <row r="646" customFormat="false" ht="15" hidden="false" customHeight="true" outlineLevel="0" collapsed="false">
      <c r="A646" s="2" t="s">
        <v>862</v>
      </c>
      <c r="B646" s="3" t="n">
        <v>1</v>
      </c>
      <c r="C646" s="3" t="n">
        <v>8</v>
      </c>
      <c r="D646" s="4" t="s">
        <v>854</v>
      </c>
    </row>
    <row r="647" customFormat="false" ht="15" hidden="false" customHeight="true" outlineLevel="0" collapsed="false">
      <c r="A647" s="2" t="s">
        <v>863</v>
      </c>
      <c r="B647" s="3" t="n">
        <v>1</v>
      </c>
      <c r="C647" s="3" t="n">
        <v>8</v>
      </c>
      <c r="D647" s="4" t="s">
        <v>854</v>
      </c>
    </row>
    <row r="648" customFormat="false" ht="15" hidden="false" customHeight="true" outlineLevel="0" collapsed="false">
      <c r="A648" s="2" t="s">
        <v>864</v>
      </c>
      <c r="B648" s="3" t="n">
        <v>1</v>
      </c>
      <c r="C648" s="3" t="n">
        <v>8</v>
      </c>
      <c r="D648" s="4" t="s">
        <v>854</v>
      </c>
    </row>
    <row r="649" customFormat="false" ht="15" hidden="false" customHeight="true" outlineLevel="0" collapsed="false">
      <c r="A649" s="2" t="s">
        <v>865</v>
      </c>
      <c r="B649" s="3" t="n">
        <v>1</v>
      </c>
      <c r="C649" s="3" t="n">
        <v>8</v>
      </c>
      <c r="D649" s="4" t="s">
        <v>854</v>
      </c>
    </row>
    <row r="650" customFormat="false" ht="15" hidden="false" customHeight="true" outlineLevel="0" collapsed="false">
      <c r="A650" s="2" t="s">
        <v>866</v>
      </c>
      <c r="B650" s="3" t="n">
        <v>1</v>
      </c>
      <c r="C650" s="3" t="n">
        <v>8</v>
      </c>
      <c r="D650" s="4" t="s">
        <v>854</v>
      </c>
    </row>
    <row r="652" customFormat="false" ht="15" hidden="false" customHeight="true" outlineLevel="0" collapsed="false">
      <c r="A652" s="5" t="s">
        <v>867</v>
      </c>
    </row>
  </sheetData>
  <autoFilter ref="A1:D6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4" activeCellId="0" sqref="G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7.71"/>
    <col collapsed="false" customWidth="true" hidden="false" outlineLevel="0" max="3" min="3" style="0" width="23.29"/>
    <col collapsed="false" customWidth="true" hidden="false" outlineLevel="0" max="4" min="4" style="0" width="26.15"/>
    <col collapsed="false" customWidth="true" hidden="false" outlineLevel="0" max="5" min="5" style="0" width="22.15"/>
    <col collapsed="false" customWidth="true" hidden="false" outlineLevel="0" max="6" min="6" style="0" width="14.57"/>
    <col collapsed="false" customWidth="true" hidden="false" outlineLevel="0" max="7" min="7" style="0" width="15"/>
    <col collapsed="false" customWidth="true" hidden="false" outlineLevel="0" max="8" min="8" style="0" width="24.57"/>
    <col collapsed="false" customWidth="true" hidden="false" outlineLevel="0" max="9" min="9" style="0" width="28.86"/>
    <col collapsed="false" customWidth="true" hidden="false" outlineLevel="0" max="10" min="10" style="0" width="29"/>
  </cols>
  <sheetData>
    <row r="1" customFormat="false" ht="26.25" hidden="false" customHeight="true" outlineLevel="0" collapsed="false">
      <c r="A1" s="1" t="s">
        <v>868</v>
      </c>
      <c r="B1" s="1" t="s">
        <v>869</v>
      </c>
      <c r="C1" s="1" t="s">
        <v>870</v>
      </c>
      <c r="D1" s="1" t="s">
        <v>871</v>
      </c>
      <c r="E1" s="1" t="s">
        <v>872</v>
      </c>
      <c r="F1" s="1" t="s">
        <v>873</v>
      </c>
      <c r="G1" s="1" t="s">
        <v>874</v>
      </c>
      <c r="H1" s="1" t="s">
        <v>875</v>
      </c>
      <c r="I1" s="1" t="s">
        <v>876</v>
      </c>
      <c r="J1" s="1" t="s">
        <v>877</v>
      </c>
    </row>
    <row r="2" customFormat="false" ht="15" hidden="false" customHeight="true" outlineLevel="0" collapsed="false">
      <c r="A2" s="3" t="s">
        <v>356</v>
      </c>
      <c r="B2" s="3" t="s">
        <v>100</v>
      </c>
      <c r="C2" s="3" t="s">
        <v>24</v>
      </c>
      <c r="D2" s="3" t="s">
        <v>878</v>
      </c>
      <c r="E2" s="3" t="s">
        <v>588</v>
      </c>
      <c r="F2" s="3" t="n">
        <v>20</v>
      </c>
      <c r="G2" s="3" t="n">
        <v>20</v>
      </c>
      <c r="H2" s="3" t="n">
        <v>24</v>
      </c>
      <c r="I2" s="3" t="n">
        <v>8</v>
      </c>
      <c r="J2" s="3" t="n">
        <v>18</v>
      </c>
    </row>
    <row r="3" customFormat="false" ht="15" hidden="false" customHeight="true" outlineLevel="0" collapsed="false">
      <c r="A3" s="3" t="s">
        <v>364</v>
      </c>
      <c r="B3" s="3" t="s">
        <v>24</v>
      </c>
      <c r="C3" s="3" t="s">
        <v>24</v>
      </c>
      <c r="D3" s="3" t="s">
        <v>879</v>
      </c>
      <c r="E3" s="3" t="s">
        <v>880</v>
      </c>
      <c r="F3" s="3" t="n">
        <v>20</v>
      </c>
      <c r="G3" s="3" t="n">
        <v>25</v>
      </c>
      <c r="H3" s="3" t="n">
        <v>38.3</v>
      </c>
      <c r="I3" s="3" t="n">
        <v>6</v>
      </c>
      <c r="J3" s="3" t="n">
        <v>31</v>
      </c>
    </row>
    <row r="4" customFormat="false" ht="15" hidden="false" customHeight="true" outlineLevel="0" collapsed="false">
      <c r="A4" s="3" t="s">
        <v>374</v>
      </c>
      <c r="B4" s="3" t="s">
        <v>373</v>
      </c>
      <c r="C4" s="3" t="s">
        <v>373</v>
      </c>
      <c r="D4" s="3" t="s">
        <v>881</v>
      </c>
      <c r="E4" s="3" t="s">
        <v>880</v>
      </c>
      <c r="F4" s="3" t="n">
        <v>20</v>
      </c>
      <c r="G4" s="3" t="n">
        <v>25</v>
      </c>
      <c r="H4" s="3" t="n">
        <v>38.3</v>
      </c>
      <c r="I4" s="3" t="n">
        <v>6</v>
      </c>
      <c r="J4" s="3" t="n">
        <v>32</v>
      </c>
    </row>
    <row r="5" customFormat="false" ht="15" hidden="false" customHeight="true" outlineLevel="0" collapsed="false">
      <c r="A5" s="3" t="s">
        <v>387</v>
      </c>
      <c r="B5" s="3" t="s">
        <v>6</v>
      </c>
      <c r="C5" s="3" t="s">
        <v>6</v>
      </c>
      <c r="D5" s="3" t="s">
        <v>882</v>
      </c>
      <c r="E5" s="3" t="s">
        <v>883</v>
      </c>
      <c r="F5" s="3" t="n">
        <v>25</v>
      </c>
      <c r="G5" s="3" t="n">
        <v>25</v>
      </c>
      <c r="H5" s="3" t="n">
        <v>32.5</v>
      </c>
      <c r="I5" s="3" t="n">
        <v>4</v>
      </c>
      <c r="J5" s="3" t="n">
        <v>24</v>
      </c>
    </row>
    <row r="6" customFormat="false" ht="15" hidden="false" customHeight="true" outlineLevel="0" collapsed="false">
      <c r="A6" s="3" t="s">
        <v>394</v>
      </c>
      <c r="B6" s="3" t="s">
        <v>6</v>
      </c>
      <c r="C6" s="3" t="s">
        <v>6</v>
      </c>
      <c r="D6" s="3" t="s">
        <v>884</v>
      </c>
      <c r="E6" s="3" t="s">
        <v>883</v>
      </c>
      <c r="F6" s="3" t="n">
        <v>25</v>
      </c>
      <c r="G6" s="3" t="n">
        <v>25</v>
      </c>
      <c r="H6" s="3" t="n">
        <v>32.5</v>
      </c>
      <c r="I6" s="3" t="n">
        <v>4</v>
      </c>
      <c r="J6" s="3" t="n">
        <v>25</v>
      </c>
    </row>
    <row r="7" customFormat="false" ht="15" hidden="false" customHeight="true" outlineLevel="0" collapsed="false">
      <c r="A7" s="3" t="s">
        <v>400</v>
      </c>
      <c r="B7" s="3" t="s">
        <v>399</v>
      </c>
      <c r="C7" s="3" t="s">
        <v>399</v>
      </c>
      <c r="D7" s="3" t="s">
        <v>885</v>
      </c>
      <c r="E7" s="3" t="s">
        <v>886</v>
      </c>
      <c r="F7" s="3" t="n">
        <v>15</v>
      </c>
      <c r="G7" s="3" t="n">
        <v>30</v>
      </c>
      <c r="H7" s="3" t="n">
        <v>38.4</v>
      </c>
      <c r="I7" s="3" t="n">
        <v>8</v>
      </c>
      <c r="J7" s="3" t="n">
        <v>29</v>
      </c>
    </row>
    <row r="8" customFormat="false" ht="15" hidden="false" customHeight="true" outlineLevel="0" collapsed="false">
      <c r="A8" s="3" t="s">
        <v>422</v>
      </c>
      <c r="B8" s="3" t="s">
        <v>108</v>
      </c>
      <c r="C8" s="3" t="s">
        <v>108</v>
      </c>
      <c r="D8" s="3" t="s">
        <v>887</v>
      </c>
      <c r="E8" s="3" t="s">
        <v>886</v>
      </c>
      <c r="F8" s="3" t="n">
        <v>15</v>
      </c>
      <c r="G8" s="3" t="n">
        <v>30</v>
      </c>
      <c r="H8" s="3" t="n">
        <v>38.4</v>
      </c>
      <c r="I8" s="3" t="n">
        <v>8</v>
      </c>
      <c r="J8" s="3" t="n">
        <v>28</v>
      </c>
    </row>
    <row r="9" customFormat="false" ht="15" hidden="false" customHeight="true" outlineLevel="0" collapsed="false">
      <c r="A9" s="3" t="s">
        <v>440</v>
      </c>
      <c r="B9" s="3" t="s">
        <v>100</v>
      </c>
      <c r="C9" s="3" t="s">
        <v>150</v>
      </c>
      <c r="D9" s="3" t="s">
        <v>888</v>
      </c>
      <c r="E9" s="3" t="s">
        <v>615</v>
      </c>
      <c r="F9" s="3" t="n">
        <v>30</v>
      </c>
      <c r="G9" s="3" t="n">
        <v>30</v>
      </c>
      <c r="H9" s="3" t="n">
        <v>25.5</v>
      </c>
      <c r="I9" s="3" t="n">
        <v>6</v>
      </c>
      <c r="J9" s="3" t="n">
        <v>18</v>
      </c>
    </row>
    <row r="10" customFormat="false" ht="15" hidden="false" customHeight="true" outlineLevel="0" collapsed="false">
      <c r="A10" s="3" t="s">
        <v>448</v>
      </c>
      <c r="B10" s="3" t="s">
        <v>100</v>
      </c>
      <c r="C10" s="3" t="s">
        <v>148</v>
      </c>
      <c r="D10" s="3" t="s">
        <v>889</v>
      </c>
      <c r="E10" s="3" t="s">
        <v>883</v>
      </c>
      <c r="F10" s="3" t="n">
        <v>25</v>
      </c>
      <c r="G10" s="3" t="n">
        <v>25</v>
      </c>
      <c r="H10" s="3" t="n">
        <v>21.5</v>
      </c>
      <c r="I10" s="3" t="n">
        <v>6</v>
      </c>
      <c r="J10" s="3" t="n">
        <v>18</v>
      </c>
    </row>
    <row r="11" customFormat="false" ht="15" hidden="false" customHeight="true" outlineLevel="0" collapsed="false">
      <c r="A11" s="3" t="s">
        <v>457</v>
      </c>
      <c r="B11" s="3" t="s">
        <v>50</v>
      </c>
      <c r="C11" s="3" t="s">
        <v>50</v>
      </c>
      <c r="D11" s="3" t="s">
        <v>890</v>
      </c>
      <c r="E11" s="3" t="s">
        <v>615</v>
      </c>
      <c r="F11" s="3" t="n">
        <v>30</v>
      </c>
      <c r="G11" s="3" t="n">
        <v>30</v>
      </c>
      <c r="H11" s="3" t="n">
        <v>38.3</v>
      </c>
      <c r="I11" s="3" t="n">
        <v>4</v>
      </c>
      <c r="J11" s="3" t="n">
        <v>36</v>
      </c>
    </row>
    <row r="12" customFormat="false" ht="15" hidden="false" customHeight="true" outlineLevel="0" collapsed="false">
      <c r="A12" s="3" t="s">
        <v>479</v>
      </c>
      <c r="B12" s="3" t="s">
        <v>50</v>
      </c>
      <c r="C12" s="3" t="s">
        <v>50</v>
      </c>
      <c r="D12" s="3" t="s">
        <v>891</v>
      </c>
      <c r="E12" s="3" t="s">
        <v>615</v>
      </c>
      <c r="F12" s="3" t="n">
        <v>30</v>
      </c>
      <c r="G12" s="3" t="n">
        <v>30</v>
      </c>
      <c r="H12" s="3" t="n">
        <v>38.3</v>
      </c>
      <c r="I12" s="3" t="n">
        <v>4</v>
      </c>
      <c r="J12" s="3" t="n">
        <v>37</v>
      </c>
    </row>
    <row r="13" customFormat="false" ht="15" hidden="false" customHeight="true" outlineLevel="0" collapsed="false">
      <c r="A13" s="3" t="s">
        <v>499</v>
      </c>
      <c r="B13" s="3" t="s">
        <v>498</v>
      </c>
      <c r="C13" s="3" t="s">
        <v>501</v>
      </c>
      <c r="D13" s="3" t="s">
        <v>892</v>
      </c>
      <c r="E13" s="3" t="s">
        <v>615</v>
      </c>
      <c r="F13" s="3" t="n">
        <v>30</v>
      </c>
      <c r="G13" s="3" t="n">
        <v>30</v>
      </c>
      <c r="H13" s="3" t="n">
        <v>3</v>
      </c>
      <c r="I13" s="3" t="n">
        <v>1</v>
      </c>
      <c r="J13" s="3" t="n">
        <v>1</v>
      </c>
    </row>
    <row r="14" customFormat="false" ht="15" hidden="false" customHeight="true" outlineLevel="0" collapsed="false">
      <c r="A14" s="3" t="s">
        <v>503</v>
      </c>
      <c r="B14" s="3" t="s">
        <v>4</v>
      </c>
      <c r="C14" s="3" t="s">
        <v>512</v>
      </c>
      <c r="D14" s="3" t="s">
        <v>893</v>
      </c>
      <c r="E14" s="3" t="s">
        <v>894</v>
      </c>
      <c r="F14" s="3" t="n">
        <v>90</v>
      </c>
      <c r="G14" s="3" t="n">
        <v>90</v>
      </c>
      <c r="H14" s="3" t="n">
        <v>11</v>
      </c>
      <c r="I14" s="3" t="n">
        <v>1</v>
      </c>
      <c r="J14" s="3" t="n">
        <v>11</v>
      </c>
    </row>
    <row r="15" customFormat="false" ht="15" hidden="false" customHeight="true" outlineLevel="0" collapsed="false">
      <c r="A15" s="3" t="s">
        <v>514</v>
      </c>
      <c r="B15" s="3" t="s">
        <v>6</v>
      </c>
      <c r="C15" s="3" t="s">
        <v>521</v>
      </c>
      <c r="D15" s="3" t="s">
        <v>895</v>
      </c>
      <c r="E15" s="3" t="s">
        <v>725</v>
      </c>
      <c r="F15" s="3" t="n">
        <v>80</v>
      </c>
      <c r="G15" s="3" t="n">
        <v>80</v>
      </c>
      <c r="H15" s="3" t="n">
        <v>23</v>
      </c>
      <c r="I15" s="3" t="n">
        <v>2</v>
      </c>
      <c r="J15" s="3" t="n">
        <v>16</v>
      </c>
    </row>
    <row r="16" customFormat="false" ht="15" hidden="false" customHeight="true" outlineLevel="0" collapsed="false">
      <c r="A16" s="3" t="s">
        <v>523</v>
      </c>
      <c r="B16" s="3" t="s">
        <v>6</v>
      </c>
      <c r="C16" s="3" t="s">
        <v>529</v>
      </c>
      <c r="D16" s="3" t="s">
        <v>896</v>
      </c>
      <c r="E16" s="3" t="s">
        <v>615</v>
      </c>
      <c r="F16" s="3" t="n">
        <v>30</v>
      </c>
      <c r="G16" s="3" t="n">
        <v>30</v>
      </c>
      <c r="H16" s="3" t="n">
        <v>23</v>
      </c>
      <c r="I16" s="3" t="n">
        <v>5</v>
      </c>
      <c r="J16" s="3" t="n">
        <v>14</v>
      </c>
    </row>
    <row r="17" customFormat="false" ht="15" hidden="false" customHeight="true" outlineLevel="0" collapsed="false">
      <c r="A17" s="3" t="s">
        <v>531</v>
      </c>
      <c r="B17" s="3" t="s">
        <v>6</v>
      </c>
      <c r="C17" s="3" t="s">
        <v>260</v>
      </c>
      <c r="D17" s="3" t="s">
        <v>897</v>
      </c>
      <c r="E17" s="3" t="s">
        <v>588</v>
      </c>
      <c r="F17" s="3" t="n">
        <v>20</v>
      </c>
      <c r="G17" s="3" t="n">
        <v>20</v>
      </c>
      <c r="H17" s="3" t="n">
        <v>14</v>
      </c>
      <c r="I17" s="3" t="n">
        <v>5</v>
      </c>
      <c r="J17" s="3" t="n">
        <v>9</v>
      </c>
    </row>
    <row r="18" customFormat="false" ht="15" hidden="false" customHeight="true" outlineLevel="0" collapsed="false">
      <c r="A18" s="3" t="s">
        <v>535</v>
      </c>
      <c r="B18" s="3" t="s">
        <v>534</v>
      </c>
      <c r="C18" s="3" t="s">
        <v>50</v>
      </c>
      <c r="D18" s="3" t="s">
        <v>898</v>
      </c>
      <c r="E18" s="3" t="s">
        <v>899</v>
      </c>
      <c r="F18" s="3" t="n">
        <v>60</v>
      </c>
      <c r="G18" s="3" t="n">
        <v>60</v>
      </c>
      <c r="H18" s="3" t="n">
        <v>27.5</v>
      </c>
      <c r="I18" s="3" t="n">
        <v>3</v>
      </c>
      <c r="J18" s="3" t="n">
        <v>13</v>
      </c>
    </row>
    <row r="19" customFormat="false" ht="15" hidden="false" customHeight="true" outlineLevel="0" collapsed="false">
      <c r="A19" s="3" t="s">
        <v>541</v>
      </c>
      <c r="B19" s="3" t="s">
        <v>8</v>
      </c>
      <c r="C19" s="3" t="s">
        <v>551</v>
      </c>
      <c r="D19" s="3" t="s">
        <v>900</v>
      </c>
      <c r="E19" s="3" t="s">
        <v>880</v>
      </c>
      <c r="F19" s="3" t="n">
        <v>20</v>
      </c>
      <c r="G19" s="3" t="n">
        <v>25</v>
      </c>
      <c r="H19" s="3" t="n">
        <v>31</v>
      </c>
      <c r="I19" s="3" t="n">
        <v>10</v>
      </c>
      <c r="J19" s="3" t="n">
        <v>25</v>
      </c>
    </row>
    <row r="20" customFormat="false" ht="15" hidden="false" customHeight="true" outlineLevel="0" collapsed="false">
      <c r="A20" s="3" t="s">
        <v>553</v>
      </c>
      <c r="B20" s="3" t="s">
        <v>8</v>
      </c>
      <c r="C20" s="3" t="s">
        <v>557</v>
      </c>
      <c r="D20" s="3" t="s">
        <v>901</v>
      </c>
      <c r="E20" s="3" t="s">
        <v>902</v>
      </c>
      <c r="F20" s="3" t="n">
        <v>50</v>
      </c>
      <c r="G20" s="3" t="n">
        <v>50</v>
      </c>
      <c r="H20" s="3" t="n">
        <v>13</v>
      </c>
      <c r="I20" s="3" t="n">
        <v>2</v>
      </c>
      <c r="J20" s="3" t="n">
        <v>10</v>
      </c>
    </row>
    <row r="21" customFormat="false" ht="15" hidden="false" customHeight="true" outlineLevel="0" collapsed="false">
      <c r="A21" s="3" t="s">
        <v>559</v>
      </c>
      <c r="B21" s="3" t="s">
        <v>558</v>
      </c>
      <c r="C21" s="3" t="s">
        <v>8</v>
      </c>
      <c r="D21" s="3" t="s">
        <v>903</v>
      </c>
      <c r="E21" s="3" t="s">
        <v>904</v>
      </c>
      <c r="F21" s="3" t="n">
        <v>75</v>
      </c>
      <c r="G21" s="3" t="n">
        <v>75</v>
      </c>
      <c r="H21" s="3" t="n">
        <v>21</v>
      </c>
      <c r="I21" s="3" t="n">
        <v>2</v>
      </c>
      <c r="J21" s="3" t="n">
        <v>15</v>
      </c>
    </row>
    <row r="22" customFormat="false" ht="15" hidden="false" customHeight="true" outlineLevel="0" collapsed="false">
      <c r="A22" s="3" t="s">
        <v>565</v>
      </c>
      <c r="B22" s="3" t="s">
        <v>6</v>
      </c>
      <c r="C22" s="3" t="s">
        <v>24</v>
      </c>
      <c r="D22" s="3" t="s">
        <v>905</v>
      </c>
      <c r="E22" s="3" t="s">
        <v>906</v>
      </c>
      <c r="F22" s="3" t="n">
        <v>15</v>
      </c>
      <c r="G22" s="3" t="n">
        <v>20</v>
      </c>
      <c r="H22" s="3" t="n">
        <v>17.5</v>
      </c>
      <c r="I22" s="3" t="n">
        <v>8</v>
      </c>
      <c r="J22" s="3" t="n">
        <v>12</v>
      </c>
    </row>
    <row r="23" customFormat="false" ht="15" hidden="false" customHeight="true" outlineLevel="0" collapsed="false">
      <c r="A23" s="3" t="s">
        <v>570</v>
      </c>
      <c r="B23" s="3" t="s">
        <v>44</v>
      </c>
      <c r="C23" s="3" t="s">
        <v>573</v>
      </c>
      <c r="D23" s="3" t="s">
        <v>907</v>
      </c>
      <c r="E23" s="3" t="s">
        <v>899</v>
      </c>
      <c r="F23" s="3" t="n">
        <v>60</v>
      </c>
      <c r="G23" s="3" t="n">
        <v>60</v>
      </c>
      <c r="H23" s="3" t="n">
        <v>15</v>
      </c>
      <c r="I23" s="3" t="n">
        <v>2</v>
      </c>
      <c r="J23" s="3" t="n">
        <v>8</v>
      </c>
    </row>
    <row r="24" customFormat="false" ht="15" hidden="false" customHeight="true" outlineLevel="0" collapsed="false">
      <c r="A24" s="3" t="s">
        <v>575</v>
      </c>
      <c r="B24" s="3" t="s">
        <v>6</v>
      </c>
      <c r="C24" s="3" t="s">
        <v>576</v>
      </c>
      <c r="D24" s="3" t="s">
        <v>908</v>
      </c>
      <c r="E24" s="3" t="s">
        <v>588</v>
      </c>
      <c r="F24" s="3" t="n">
        <v>20</v>
      </c>
      <c r="G24" s="3" t="n">
        <v>20</v>
      </c>
      <c r="H24" s="3" t="n">
        <v>15.5</v>
      </c>
      <c r="I24" s="3" t="n">
        <v>6</v>
      </c>
      <c r="J24" s="3" t="n">
        <v>13</v>
      </c>
    </row>
    <row r="25" customFormat="false" ht="15" hidden="false" customHeight="true" outlineLevel="0" collapsed="false">
      <c r="A25" s="3" t="s">
        <v>289</v>
      </c>
      <c r="B25" s="3" t="s">
        <v>6</v>
      </c>
      <c r="C25" s="3" t="s">
        <v>581</v>
      </c>
      <c r="D25" s="3" t="s">
        <v>909</v>
      </c>
      <c r="E25" s="3" t="s">
        <v>615</v>
      </c>
      <c r="F25" s="3" t="n">
        <v>30</v>
      </c>
      <c r="G25" s="3" t="n">
        <v>30</v>
      </c>
      <c r="H25" s="3" t="n">
        <v>15.5</v>
      </c>
      <c r="I25" s="3" t="n">
        <v>4</v>
      </c>
      <c r="J25" s="3" t="n">
        <v>13</v>
      </c>
    </row>
    <row r="26" customFormat="false" ht="15" hidden="false" customHeight="true" outlineLevel="0" collapsed="false">
      <c r="A26" s="3" t="s">
        <v>583</v>
      </c>
      <c r="B26" s="3" t="s">
        <v>6</v>
      </c>
      <c r="C26" s="3" t="s">
        <v>50</v>
      </c>
      <c r="D26" s="3" t="s">
        <v>910</v>
      </c>
      <c r="E26" s="3" t="s">
        <v>899</v>
      </c>
      <c r="F26" s="3" t="n">
        <v>60</v>
      </c>
      <c r="G26" s="3" t="n">
        <v>60</v>
      </c>
      <c r="H26" s="3" t="n">
        <v>17</v>
      </c>
      <c r="I26" s="3" t="n">
        <v>2</v>
      </c>
      <c r="J26" s="3" t="n">
        <v>9</v>
      </c>
    </row>
    <row r="27" customFormat="false" ht="15" hidden="false" customHeight="true" outlineLevel="0" collapsed="false">
      <c r="A27" s="3" t="s">
        <v>588</v>
      </c>
      <c r="B27" s="3" t="s">
        <v>278</v>
      </c>
      <c r="C27" s="3" t="s">
        <v>94</v>
      </c>
      <c r="D27" s="3" t="s">
        <v>911</v>
      </c>
      <c r="E27" s="3" t="s">
        <v>886</v>
      </c>
      <c r="F27" s="3" t="n">
        <v>15</v>
      </c>
      <c r="G27" s="3" t="n">
        <v>30</v>
      </c>
      <c r="H27" s="3" t="n">
        <v>25.6</v>
      </c>
      <c r="I27" s="3" t="n">
        <v>9</v>
      </c>
      <c r="J27" s="3" t="n">
        <v>13</v>
      </c>
    </row>
    <row r="28" customFormat="false" ht="15" hidden="false" customHeight="true" outlineLevel="0" collapsed="false">
      <c r="A28" s="3" t="s">
        <v>591</v>
      </c>
      <c r="B28" s="3" t="s">
        <v>278</v>
      </c>
      <c r="C28" s="3" t="s">
        <v>94</v>
      </c>
      <c r="D28" s="3" t="s">
        <v>912</v>
      </c>
      <c r="E28" s="3" t="s">
        <v>899</v>
      </c>
      <c r="F28" s="3" t="n">
        <v>60</v>
      </c>
      <c r="G28" s="3" t="n">
        <v>60</v>
      </c>
      <c r="H28" s="3" t="n">
        <v>25.6</v>
      </c>
      <c r="I28" s="3" t="n">
        <v>3</v>
      </c>
      <c r="J28" s="3" t="n">
        <v>16</v>
      </c>
    </row>
    <row r="29" customFormat="false" ht="15" hidden="false" customHeight="true" outlineLevel="0" collapsed="false">
      <c r="A29" s="3" t="s">
        <v>596</v>
      </c>
      <c r="B29" s="3" t="s">
        <v>6</v>
      </c>
      <c r="C29" s="3" t="s">
        <v>168</v>
      </c>
      <c r="D29" s="3" t="s">
        <v>913</v>
      </c>
      <c r="E29" s="3" t="s">
        <v>588</v>
      </c>
      <c r="F29" s="3" t="n">
        <v>20</v>
      </c>
      <c r="G29" s="3" t="n">
        <v>20</v>
      </c>
      <c r="H29" s="3" t="n">
        <v>19.6</v>
      </c>
      <c r="I29" s="3" t="n">
        <v>7</v>
      </c>
      <c r="J29" s="3" t="n">
        <v>15</v>
      </c>
    </row>
    <row r="30" customFormat="false" ht="15" hidden="false" customHeight="true" outlineLevel="0" collapsed="false">
      <c r="A30" s="3" t="s">
        <v>599</v>
      </c>
      <c r="B30" s="3" t="s">
        <v>6</v>
      </c>
      <c r="C30" s="3" t="s">
        <v>600</v>
      </c>
      <c r="D30" s="3" t="s">
        <v>914</v>
      </c>
      <c r="E30" s="3" t="s">
        <v>588</v>
      </c>
      <c r="F30" s="3" t="n">
        <v>20</v>
      </c>
      <c r="G30" s="3" t="n">
        <v>20</v>
      </c>
      <c r="H30" s="3" t="n">
        <v>12.8</v>
      </c>
      <c r="I30" s="3" t="n">
        <v>6</v>
      </c>
      <c r="J30" s="3" t="n">
        <v>11</v>
      </c>
    </row>
    <row r="31" customFormat="false" ht="15" hidden="false" customHeight="true" outlineLevel="0" collapsed="false">
      <c r="A31" s="3" t="s">
        <v>915</v>
      </c>
      <c r="B31" s="3" t="s">
        <v>6</v>
      </c>
      <c r="C31" s="3" t="s">
        <v>8</v>
      </c>
      <c r="D31" s="3" t="s">
        <v>916</v>
      </c>
      <c r="E31" s="3" t="s">
        <v>725</v>
      </c>
      <c r="F31" s="3" t="n">
        <v>80</v>
      </c>
      <c r="G31" s="3" t="n">
        <v>80</v>
      </c>
      <c r="H31" s="3" t="n">
        <v>9.8</v>
      </c>
      <c r="I31" s="3" t="n">
        <v>1</v>
      </c>
      <c r="J31" s="3" t="n">
        <v>6</v>
      </c>
    </row>
    <row r="32" customFormat="false" ht="15" hidden="false" customHeight="true" outlineLevel="0" collapsed="false">
      <c r="A32" s="3" t="s">
        <v>917</v>
      </c>
      <c r="B32" s="3" t="s">
        <v>4</v>
      </c>
      <c r="C32" s="3" t="s">
        <v>6</v>
      </c>
      <c r="D32" s="3" t="s">
        <v>918</v>
      </c>
      <c r="E32" s="3" t="s">
        <v>424</v>
      </c>
      <c r="F32" s="3" t="n">
        <v>45</v>
      </c>
      <c r="G32" s="3" t="n">
        <v>45</v>
      </c>
      <c r="H32" s="3" t="n">
        <v>5.7</v>
      </c>
      <c r="I32" s="3" t="n">
        <v>1</v>
      </c>
      <c r="J32" s="3" t="n">
        <v>5</v>
      </c>
    </row>
    <row r="33" customFormat="false" ht="15" hidden="false" customHeight="true" outlineLevel="0" collapsed="false">
      <c r="A33" s="3" t="s">
        <v>602</v>
      </c>
      <c r="B33" s="3" t="s">
        <v>295</v>
      </c>
      <c r="C33" s="3" t="s">
        <v>606</v>
      </c>
      <c r="D33" s="3" t="s">
        <v>919</v>
      </c>
      <c r="E33" s="3" t="s">
        <v>647</v>
      </c>
      <c r="F33" s="3" t="n">
        <v>35</v>
      </c>
      <c r="G33" s="3" t="n">
        <v>35</v>
      </c>
      <c r="H33" s="3" t="n">
        <v>32</v>
      </c>
      <c r="I33" s="3" t="n">
        <v>6</v>
      </c>
      <c r="J33" s="3" t="n">
        <v>19</v>
      </c>
    </row>
    <row r="34" customFormat="false" ht="15" hidden="false" customHeight="true" outlineLevel="0" collapsed="false">
      <c r="A34" s="3" t="s">
        <v>609</v>
      </c>
      <c r="B34" s="3" t="s">
        <v>100</v>
      </c>
      <c r="C34" s="3" t="s">
        <v>24</v>
      </c>
      <c r="D34" s="3" t="s">
        <v>920</v>
      </c>
      <c r="E34" s="3" t="s">
        <v>615</v>
      </c>
      <c r="F34" s="3" t="n">
        <v>30</v>
      </c>
      <c r="G34" s="3" t="n">
        <v>30</v>
      </c>
      <c r="H34" s="3" t="n">
        <v>26</v>
      </c>
      <c r="I34" s="3" t="n">
        <v>6</v>
      </c>
      <c r="J34" s="3" t="n">
        <v>17</v>
      </c>
    </row>
    <row r="35" customFormat="false" ht="15" hidden="false" customHeight="true" outlineLevel="0" collapsed="false">
      <c r="A35" s="3" t="s">
        <v>615</v>
      </c>
      <c r="B35" s="3" t="s">
        <v>6</v>
      </c>
      <c r="C35" s="3" t="s">
        <v>126</v>
      </c>
      <c r="D35" s="3" t="s">
        <v>921</v>
      </c>
      <c r="E35" s="3" t="s">
        <v>922</v>
      </c>
      <c r="F35" s="3" t="n">
        <v>25</v>
      </c>
      <c r="G35" s="3" t="n">
        <v>30</v>
      </c>
      <c r="H35" s="3" t="n">
        <v>21.5</v>
      </c>
      <c r="I35" s="3" t="n">
        <v>6</v>
      </c>
      <c r="J35" s="3" t="n">
        <v>18</v>
      </c>
    </row>
    <row r="36" customFormat="false" ht="15" hidden="false" customHeight="true" outlineLevel="0" collapsed="false">
      <c r="A36" s="3" t="s">
        <v>617</v>
      </c>
      <c r="B36" s="3" t="s">
        <v>6</v>
      </c>
      <c r="C36" s="3" t="s">
        <v>622</v>
      </c>
      <c r="D36" s="3" t="s">
        <v>923</v>
      </c>
      <c r="E36" s="3" t="s">
        <v>883</v>
      </c>
      <c r="F36" s="3" t="n">
        <v>25</v>
      </c>
      <c r="G36" s="3" t="n">
        <v>25</v>
      </c>
      <c r="H36" s="3" t="n">
        <v>21.1</v>
      </c>
      <c r="I36" s="3" t="n">
        <v>6</v>
      </c>
      <c r="J36" s="3" t="n">
        <v>20</v>
      </c>
    </row>
    <row r="37" customFormat="false" ht="15" hidden="false" customHeight="true" outlineLevel="0" collapsed="false">
      <c r="A37" s="3" t="s">
        <v>624</v>
      </c>
      <c r="B37" s="3" t="s">
        <v>6</v>
      </c>
      <c r="C37" s="3" t="s">
        <v>178</v>
      </c>
      <c r="D37" s="3" t="s">
        <v>924</v>
      </c>
      <c r="E37" s="3" t="s">
        <v>883</v>
      </c>
      <c r="F37" s="3" t="n">
        <v>25</v>
      </c>
      <c r="G37" s="3" t="n">
        <v>25</v>
      </c>
      <c r="H37" s="3" t="n">
        <v>31</v>
      </c>
      <c r="I37" s="3" t="n">
        <v>8</v>
      </c>
      <c r="J37" s="3" t="n">
        <v>19</v>
      </c>
    </row>
    <row r="38" customFormat="false" ht="15" hidden="false" customHeight="true" outlineLevel="0" collapsed="false">
      <c r="A38" s="3" t="s">
        <v>628</v>
      </c>
      <c r="B38" s="3" t="s">
        <v>8</v>
      </c>
      <c r="C38" s="3" t="s">
        <v>98</v>
      </c>
      <c r="D38" s="3" t="s">
        <v>925</v>
      </c>
      <c r="E38" s="3" t="s">
        <v>886</v>
      </c>
      <c r="F38" s="3" t="n">
        <v>15</v>
      </c>
      <c r="G38" s="3" t="n">
        <v>30</v>
      </c>
      <c r="H38" s="3" t="n">
        <v>37.7</v>
      </c>
      <c r="I38" s="3" t="n">
        <v>14</v>
      </c>
      <c r="J38" s="3" t="n">
        <v>16</v>
      </c>
    </row>
    <row r="39" customFormat="false" ht="15" hidden="false" customHeight="true" outlineLevel="0" collapsed="false">
      <c r="A39" s="3" t="s">
        <v>635</v>
      </c>
      <c r="B39" s="3" t="s">
        <v>8</v>
      </c>
      <c r="C39" s="3" t="s">
        <v>178</v>
      </c>
      <c r="D39" s="3" t="s">
        <v>926</v>
      </c>
      <c r="E39" s="3" t="s">
        <v>588</v>
      </c>
      <c r="F39" s="3" t="n">
        <v>20</v>
      </c>
      <c r="G39" s="3" t="n">
        <v>20</v>
      </c>
      <c r="H39" s="3" t="n">
        <v>31</v>
      </c>
      <c r="I39" s="3" t="n">
        <v>10</v>
      </c>
      <c r="J39" s="3" t="n">
        <v>25</v>
      </c>
    </row>
    <row r="40" customFormat="false" ht="15" hidden="false" customHeight="true" outlineLevel="0" collapsed="false">
      <c r="A40" s="3" t="s">
        <v>927</v>
      </c>
      <c r="B40" s="3" t="s">
        <v>8</v>
      </c>
      <c r="C40" s="3" t="s">
        <v>98</v>
      </c>
      <c r="D40" s="3" t="s">
        <v>928</v>
      </c>
      <c r="E40" s="3" t="s">
        <v>588</v>
      </c>
      <c r="F40" s="3" t="n">
        <v>20</v>
      </c>
      <c r="G40" s="3" t="n">
        <v>20</v>
      </c>
      <c r="H40" s="3" t="n">
        <v>28</v>
      </c>
      <c r="I40" s="3" t="n">
        <v>9</v>
      </c>
      <c r="J40" s="3" t="n">
        <v>15</v>
      </c>
    </row>
    <row r="41" customFormat="false" ht="15" hidden="false" customHeight="true" outlineLevel="0" collapsed="false">
      <c r="A41" s="3" t="s">
        <v>647</v>
      </c>
      <c r="B41" s="3" t="s">
        <v>4</v>
      </c>
      <c r="C41" s="3" t="s">
        <v>94</v>
      </c>
      <c r="D41" s="3" t="s">
        <v>929</v>
      </c>
      <c r="E41" s="3" t="s">
        <v>588</v>
      </c>
      <c r="F41" s="3" t="n">
        <v>20</v>
      </c>
      <c r="G41" s="3" t="n">
        <v>20</v>
      </c>
      <c r="H41" s="3" t="n">
        <v>18.3</v>
      </c>
      <c r="I41" s="3" t="n">
        <v>7</v>
      </c>
      <c r="J41" s="3" t="n">
        <v>14</v>
      </c>
    </row>
    <row r="42" customFormat="false" ht="15" hidden="false" customHeight="true" outlineLevel="0" collapsed="false">
      <c r="A42" s="3" t="s">
        <v>650</v>
      </c>
      <c r="B42" s="3" t="s">
        <v>4</v>
      </c>
      <c r="C42" s="3" t="s">
        <v>654</v>
      </c>
      <c r="D42" s="3" t="s">
        <v>930</v>
      </c>
      <c r="E42" s="3" t="s">
        <v>428</v>
      </c>
      <c r="F42" s="3" t="n">
        <v>40</v>
      </c>
      <c r="G42" s="3" t="n">
        <v>40</v>
      </c>
      <c r="H42" s="3" t="n">
        <v>23</v>
      </c>
      <c r="I42" s="3" t="n">
        <v>4</v>
      </c>
      <c r="J42" s="3" t="n">
        <v>16</v>
      </c>
    </row>
    <row r="43" customFormat="false" ht="15" hidden="false" customHeight="true" outlineLevel="0" collapsed="false">
      <c r="A43" s="3" t="s">
        <v>656</v>
      </c>
      <c r="B43" s="3" t="s">
        <v>4</v>
      </c>
      <c r="C43" s="3" t="s">
        <v>94</v>
      </c>
      <c r="D43" s="3" t="s">
        <v>931</v>
      </c>
      <c r="E43" s="3" t="s">
        <v>588</v>
      </c>
      <c r="F43" s="3" t="n">
        <v>20</v>
      </c>
      <c r="G43" s="3" t="n">
        <v>20</v>
      </c>
      <c r="H43" s="3" t="n">
        <v>19.2</v>
      </c>
      <c r="I43" s="3" t="n">
        <v>7</v>
      </c>
      <c r="J43" s="3" t="n">
        <v>13</v>
      </c>
    </row>
    <row r="44" customFormat="false" ht="15" hidden="false" customHeight="true" outlineLevel="0" collapsed="false">
      <c r="A44" s="3" t="s">
        <v>659</v>
      </c>
      <c r="B44" s="3" t="s">
        <v>6</v>
      </c>
      <c r="C44" s="3" t="s">
        <v>24</v>
      </c>
      <c r="D44" s="3" t="s">
        <v>932</v>
      </c>
      <c r="E44" s="3" t="s">
        <v>902</v>
      </c>
      <c r="F44" s="3" t="n">
        <v>50</v>
      </c>
      <c r="G44" s="3" t="n">
        <v>50</v>
      </c>
      <c r="H44" s="3" t="n">
        <v>32</v>
      </c>
      <c r="I44" s="3" t="n">
        <v>2</v>
      </c>
      <c r="J44" s="3" t="n">
        <v>13</v>
      </c>
    </row>
    <row r="45" customFormat="false" ht="15" hidden="false" customHeight="true" outlineLevel="0" collapsed="false">
      <c r="A45" s="3" t="s">
        <v>665</v>
      </c>
      <c r="B45" s="3" t="s">
        <v>8</v>
      </c>
      <c r="C45" s="3" t="s">
        <v>334</v>
      </c>
      <c r="D45" s="3" t="s">
        <v>933</v>
      </c>
      <c r="E45" s="3" t="s">
        <v>428</v>
      </c>
      <c r="F45" s="3" t="n">
        <v>40</v>
      </c>
      <c r="G45" s="3" t="n">
        <v>40</v>
      </c>
      <c r="H45" s="3" t="n">
        <v>32</v>
      </c>
      <c r="I45" s="3" t="n">
        <v>5</v>
      </c>
      <c r="J45" s="3" t="n">
        <v>34</v>
      </c>
    </row>
    <row r="46" customFormat="false" ht="15" hidden="false" customHeight="true" outlineLevel="0" collapsed="false">
      <c r="A46" s="3" t="s">
        <v>693</v>
      </c>
      <c r="B46" s="3" t="s">
        <v>692</v>
      </c>
      <c r="C46" s="3" t="s">
        <v>8</v>
      </c>
      <c r="D46" s="3" t="s">
        <v>934</v>
      </c>
      <c r="E46" s="3" t="s">
        <v>588</v>
      </c>
      <c r="F46" s="3" t="n">
        <v>20</v>
      </c>
      <c r="G46" s="3" t="n">
        <v>20</v>
      </c>
      <c r="H46" s="3" t="n">
        <v>27.5</v>
      </c>
      <c r="I46" s="3" t="n">
        <v>9</v>
      </c>
      <c r="J46" s="3" t="n">
        <v>24</v>
      </c>
    </row>
    <row r="47" customFormat="false" ht="15" hidden="false" customHeight="true" outlineLevel="0" collapsed="false">
      <c r="A47" s="3" t="s">
        <v>428</v>
      </c>
      <c r="B47" s="3" t="s">
        <v>4</v>
      </c>
      <c r="C47" s="3" t="s">
        <v>340</v>
      </c>
      <c r="D47" s="3" t="s">
        <v>935</v>
      </c>
      <c r="E47" s="3" t="s">
        <v>899</v>
      </c>
      <c r="F47" s="3" t="n">
        <v>60</v>
      </c>
      <c r="G47" s="3" t="n">
        <v>60</v>
      </c>
      <c r="H47" s="3" t="n">
        <v>30.8</v>
      </c>
      <c r="I47" s="3" t="n">
        <v>3</v>
      </c>
      <c r="J47" s="3" t="n">
        <v>13</v>
      </c>
    </row>
    <row r="48" customFormat="false" ht="15" hidden="false" customHeight="true" outlineLevel="0" collapsed="false">
      <c r="A48" s="3" t="s">
        <v>712</v>
      </c>
      <c r="B48" s="3" t="s">
        <v>6</v>
      </c>
      <c r="C48" s="3" t="s">
        <v>718</v>
      </c>
      <c r="D48" s="3" t="s">
        <v>936</v>
      </c>
      <c r="E48" s="3" t="s">
        <v>615</v>
      </c>
      <c r="F48" s="3" t="n">
        <v>30</v>
      </c>
      <c r="G48" s="3" t="n">
        <v>30</v>
      </c>
      <c r="H48" s="3" t="n">
        <v>24</v>
      </c>
      <c r="I48" s="3" t="n">
        <v>6</v>
      </c>
      <c r="J48" s="3" t="n">
        <v>16</v>
      </c>
    </row>
    <row r="49" customFormat="false" ht="15" hidden="false" customHeight="true" outlineLevel="0" collapsed="false">
      <c r="A49" s="3" t="s">
        <v>720</v>
      </c>
      <c r="B49" s="3" t="s">
        <v>8</v>
      </c>
      <c r="C49" s="3" t="s">
        <v>723</v>
      </c>
      <c r="D49" s="3" t="s">
        <v>937</v>
      </c>
      <c r="E49" s="3" t="s">
        <v>424</v>
      </c>
      <c r="F49" s="3" t="n">
        <v>45</v>
      </c>
      <c r="G49" s="3" t="n">
        <v>45</v>
      </c>
      <c r="H49" s="3" t="n">
        <v>27.9</v>
      </c>
      <c r="I49" s="3" t="n">
        <v>4</v>
      </c>
      <c r="J49" s="3" t="n">
        <v>14</v>
      </c>
    </row>
    <row r="50" customFormat="false" ht="15" hidden="false" customHeight="true" outlineLevel="0" collapsed="false">
      <c r="A50" s="3" t="s">
        <v>725</v>
      </c>
      <c r="B50" s="3" t="s">
        <v>8</v>
      </c>
      <c r="C50" s="3" t="s">
        <v>32</v>
      </c>
      <c r="D50" s="3" t="s">
        <v>938</v>
      </c>
      <c r="E50" s="3" t="s">
        <v>615</v>
      </c>
      <c r="F50" s="3" t="n">
        <v>30</v>
      </c>
      <c r="G50" s="3" t="n">
        <v>30</v>
      </c>
      <c r="H50" s="3" t="n">
        <v>20</v>
      </c>
      <c r="I50" s="3" t="n">
        <v>5</v>
      </c>
      <c r="J50" s="3" t="n">
        <v>14</v>
      </c>
    </row>
    <row r="51" customFormat="false" ht="15" hidden="false" customHeight="true" outlineLevel="0" collapsed="false">
      <c r="A51" s="3" t="s">
        <v>729</v>
      </c>
      <c r="B51" s="3" t="s">
        <v>6</v>
      </c>
      <c r="C51" s="3" t="s">
        <v>32</v>
      </c>
      <c r="D51" s="3" t="s">
        <v>939</v>
      </c>
      <c r="E51" s="3" t="s">
        <v>615</v>
      </c>
      <c r="F51" s="3" t="n">
        <v>30</v>
      </c>
      <c r="G51" s="3" t="n">
        <v>30</v>
      </c>
      <c r="H51" s="3" t="n">
        <v>19.5</v>
      </c>
      <c r="I51" s="3" t="n">
        <v>5</v>
      </c>
      <c r="J51" s="3" t="n">
        <v>16</v>
      </c>
    </row>
    <row r="52" customFormat="false" ht="15" hidden="false" customHeight="true" outlineLevel="0" collapsed="false">
      <c r="A52" s="3" t="s">
        <v>731</v>
      </c>
      <c r="B52" s="3" t="s">
        <v>8</v>
      </c>
      <c r="C52" s="3" t="s">
        <v>736</v>
      </c>
      <c r="D52" s="3" t="s">
        <v>940</v>
      </c>
      <c r="E52" s="3" t="s">
        <v>725</v>
      </c>
      <c r="F52" s="3" t="n">
        <v>80</v>
      </c>
      <c r="G52" s="3" t="n">
        <v>80</v>
      </c>
      <c r="H52" s="3" t="n">
        <v>24</v>
      </c>
      <c r="I52" s="3" t="n">
        <v>2</v>
      </c>
      <c r="J52" s="3" t="n">
        <v>15</v>
      </c>
    </row>
    <row r="53" customFormat="false" ht="15" hidden="false" customHeight="true" outlineLevel="0" collapsed="false">
      <c r="A53" s="3" t="s">
        <v>738</v>
      </c>
      <c r="B53" s="3" t="s">
        <v>8</v>
      </c>
      <c r="C53" s="3" t="s">
        <v>741</v>
      </c>
      <c r="D53" s="3" t="s">
        <v>941</v>
      </c>
      <c r="E53" s="3" t="s">
        <v>615</v>
      </c>
      <c r="F53" s="3" t="n">
        <v>30</v>
      </c>
      <c r="G53" s="3" t="n">
        <v>30</v>
      </c>
      <c r="H53" s="3" t="n">
        <v>19.8</v>
      </c>
      <c r="I53" s="3" t="n">
        <v>5</v>
      </c>
      <c r="J53" s="3" t="n">
        <v>15</v>
      </c>
    </row>
    <row r="54" customFormat="false" ht="15" hidden="false" customHeight="true" outlineLevel="0" collapsed="false">
      <c r="A54" s="3" t="s">
        <v>743</v>
      </c>
      <c r="B54" s="3" t="s">
        <v>6</v>
      </c>
      <c r="C54" s="3" t="s">
        <v>746</v>
      </c>
      <c r="D54" s="3" t="s">
        <v>942</v>
      </c>
      <c r="E54" s="3" t="s">
        <v>943</v>
      </c>
      <c r="F54" s="3" t="n">
        <v>15</v>
      </c>
      <c r="G54" s="3" t="n">
        <v>15</v>
      </c>
      <c r="H54" s="3" t="n">
        <v>13</v>
      </c>
      <c r="I54" s="3" t="n">
        <v>6</v>
      </c>
      <c r="J54" s="3" t="n">
        <v>11</v>
      </c>
    </row>
    <row r="55" customFormat="false" ht="15" hidden="false" customHeight="true" outlineLevel="0" collapsed="false">
      <c r="A55" s="3" t="s">
        <v>748</v>
      </c>
      <c r="B55" s="3" t="s">
        <v>6</v>
      </c>
      <c r="C55" s="3" t="s">
        <v>753</v>
      </c>
      <c r="D55" s="3" t="s">
        <v>944</v>
      </c>
      <c r="E55" s="3" t="s">
        <v>565</v>
      </c>
      <c r="F55" s="3" t="n">
        <v>10</v>
      </c>
      <c r="G55" s="3" t="n">
        <v>10</v>
      </c>
      <c r="H55" s="3" t="n">
        <v>11</v>
      </c>
      <c r="I55" s="3" t="n">
        <v>9</v>
      </c>
      <c r="J55" s="3" t="n">
        <v>10</v>
      </c>
    </row>
    <row r="56" customFormat="false" ht="15" hidden="false" customHeight="true" outlineLevel="0" collapsed="false">
      <c r="A56" s="3" t="s">
        <v>755</v>
      </c>
      <c r="B56" s="3" t="s">
        <v>6</v>
      </c>
      <c r="C56" s="3" t="s">
        <v>168</v>
      </c>
      <c r="D56" s="3" t="s">
        <v>945</v>
      </c>
      <c r="E56" s="3" t="s">
        <v>946</v>
      </c>
      <c r="F56" s="3" t="n">
        <v>10</v>
      </c>
      <c r="G56" s="3" t="n">
        <v>15</v>
      </c>
      <c r="H56" s="3" t="n">
        <v>18.1</v>
      </c>
      <c r="I56" s="3" t="n">
        <v>10</v>
      </c>
      <c r="J56" s="3" t="n">
        <v>15</v>
      </c>
    </row>
    <row r="57" customFormat="false" ht="15" hidden="false" customHeight="true" outlineLevel="0" collapsed="false">
      <c r="A57" s="3" t="s">
        <v>757</v>
      </c>
      <c r="B57" s="3" t="s">
        <v>8</v>
      </c>
      <c r="C57" s="3" t="s">
        <v>98</v>
      </c>
      <c r="D57" s="3" t="s">
        <v>947</v>
      </c>
      <c r="E57" s="3" t="s">
        <v>588</v>
      </c>
      <c r="F57" s="3" t="n">
        <v>20</v>
      </c>
      <c r="G57" s="3" t="n">
        <v>20</v>
      </c>
      <c r="H57" s="3" t="n">
        <v>26.5</v>
      </c>
      <c r="I57" s="3" t="n">
        <v>8</v>
      </c>
      <c r="J57" s="3" t="n">
        <v>14</v>
      </c>
    </row>
    <row r="58" customFormat="false" ht="15" hidden="false" customHeight="true" outlineLevel="0" collapsed="false">
      <c r="A58" s="3" t="s">
        <v>759</v>
      </c>
      <c r="B58" s="3" t="s">
        <v>122</v>
      </c>
      <c r="C58" s="3" t="s">
        <v>98</v>
      </c>
      <c r="D58" s="3" t="s">
        <v>948</v>
      </c>
      <c r="E58" s="3" t="s">
        <v>949</v>
      </c>
      <c r="F58" s="3" t="n">
        <v>50</v>
      </c>
      <c r="G58" s="3" t="n">
        <v>55</v>
      </c>
      <c r="H58" s="3" t="n">
        <v>34</v>
      </c>
      <c r="I58" s="3" t="n">
        <v>4</v>
      </c>
      <c r="J58" s="3" t="n">
        <v>17</v>
      </c>
    </row>
    <row r="59" customFormat="false" ht="15" hidden="false" customHeight="true" outlineLevel="0" collapsed="false">
      <c r="A59" s="3" t="s">
        <v>770</v>
      </c>
      <c r="B59" s="3" t="s">
        <v>295</v>
      </c>
      <c r="C59" s="3" t="s">
        <v>126</v>
      </c>
      <c r="D59" s="3" t="s">
        <v>950</v>
      </c>
      <c r="E59" s="3" t="s">
        <v>647</v>
      </c>
      <c r="F59" s="3" t="n">
        <v>35</v>
      </c>
      <c r="G59" s="3" t="n">
        <v>35</v>
      </c>
      <c r="H59" s="3" t="n">
        <v>31</v>
      </c>
      <c r="I59" s="3" t="n">
        <v>6</v>
      </c>
      <c r="J59" s="3" t="n">
        <v>20</v>
      </c>
    </row>
    <row r="60" customFormat="false" ht="15" hidden="false" customHeight="true" outlineLevel="0" collapsed="false">
      <c r="A60" s="3" t="s">
        <v>779</v>
      </c>
      <c r="B60" s="3" t="s">
        <v>56</v>
      </c>
      <c r="C60" s="3" t="s">
        <v>783</v>
      </c>
      <c r="D60" s="3" t="s">
        <v>951</v>
      </c>
      <c r="E60" s="3" t="s">
        <v>615</v>
      </c>
      <c r="F60" s="3" t="n">
        <v>30</v>
      </c>
      <c r="G60" s="3" t="n">
        <v>30</v>
      </c>
      <c r="H60" s="3" t="n">
        <v>27.6</v>
      </c>
      <c r="I60" s="3" t="n">
        <v>6</v>
      </c>
      <c r="J60" s="3" t="n">
        <v>18</v>
      </c>
    </row>
    <row r="61" customFormat="false" ht="15" hidden="false" customHeight="true" outlineLevel="0" collapsed="false">
      <c r="A61" s="3" t="s">
        <v>784</v>
      </c>
      <c r="B61" s="3" t="s">
        <v>6</v>
      </c>
      <c r="C61" s="3" t="s">
        <v>786</v>
      </c>
      <c r="D61" s="3" t="s">
        <v>952</v>
      </c>
      <c r="E61" s="3" t="s">
        <v>883</v>
      </c>
      <c r="F61" s="3" t="n">
        <v>25</v>
      </c>
      <c r="G61" s="3" t="n">
        <v>25</v>
      </c>
      <c r="H61" s="3" t="n">
        <v>20.4</v>
      </c>
      <c r="I61" s="3" t="n">
        <v>6</v>
      </c>
      <c r="J61" s="3" t="n">
        <v>18</v>
      </c>
    </row>
    <row r="62" customFormat="false" ht="15" hidden="false" customHeight="true" outlineLevel="0" collapsed="false">
      <c r="A62" s="3" t="s">
        <v>788</v>
      </c>
      <c r="B62" s="3" t="s">
        <v>6</v>
      </c>
      <c r="C62" s="3" t="s">
        <v>98</v>
      </c>
      <c r="D62" s="3" t="s">
        <v>953</v>
      </c>
      <c r="E62" s="3" t="s">
        <v>588</v>
      </c>
      <c r="F62" s="3" t="n">
        <v>20</v>
      </c>
      <c r="G62" s="3" t="n">
        <v>20</v>
      </c>
      <c r="H62" s="3" t="n">
        <v>26</v>
      </c>
      <c r="I62" s="3" t="n">
        <v>8</v>
      </c>
      <c r="J62" s="3" t="n">
        <v>15</v>
      </c>
    </row>
    <row r="63" customFormat="false" ht="15" hidden="false" customHeight="true" outlineLevel="0" collapsed="false">
      <c r="A63" s="3" t="s">
        <v>790</v>
      </c>
      <c r="B63" s="3" t="s">
        <v>6</v>
      </c>
      <c r="C63" s="3" t="s">
        <v>50</v>
      </c>
      <c r="D63" s="3" t="s">
        <v>954</v>
      </c>
      <c r="E63" s="3" t="s">
        <v>588</v>
      </c>
      <c r="F63" s="3" t="n">
        <v>20</v>
      </c>
      <c r="G63" s="3" t="n">
        <v>20</v>
      </c>
      <c r="H63" s="3" t="n">
        <v>24.5</v>
      </c>
      <c r="I63" s="3" t="n">
        <v>8</v>
      </c>
      <c r="J63" s="3" t="n">
        <v>23</v>
      </c>
    </row>
    <row r="64" customFormat="false" ht="15" hidden="false" customHeight="true" outlineLevel="0" collapsed="false">
      <c r="A64" s="3" t="s">
        <v>801</v>
      </c>
      <c r="B64" s="3" t="s">
        <v>4</v>
      </c>
      <c r="C64" s="3" t="s">
        <v>340</v>
      </c>
      <c r="D64" s="3" t="s">
        <v>955</v>
      </c>
      <c r="E64" s="3" t="s">
        <v>956</v>
      </c>
      <c r="F64" s="3" t="n">
        <v>20</v>
      </c>
      <c r="G64" s="3" t="n">
        <v>40</v>
      </c>
      <c r="H64" s="3" t="n">
        <v>26.8</v>
      </c>
      <c r="I64" s="3" t="n">
        <v>5</v>
      </c>
      <c r="J64" s="3" t="n">
        <v>12</v>
      </c>
    </row>
    <row r="65" customFormat="false" ht="15" hidden="false" customHeight="true" outlineLevel="0" collapsed="false">
      <c r="A65" s="3" t="s">
        <v>805</v>
      </c>
      <c r="B65" s="3" t="s">
        <v>4</v>
      </c>
      <c r="C65" s="3" t="s">
        <v>94</v>
      </c>
      <c r="D65" s="3" t="s">
        <v>957</v>
      </c>
      <c r="E65" s="3" t="s">
        <v>565</v>
      </c>
      <c r="F65" s="3" t="n">
        <v>10</v>
      </c>
      <c r="G65" s="3" t="n">
        <v>10</v>
      </c>
      <c r="H65" s="3" t="n">
        <v>18.7</v>
      </c>
      <c r="I65" s="3" t="n">
        <v>12</v>
      </c>
      <c r="J65" s="3" t="n">
        <v>19</v>
      </c>
    </row>
    <row r="66" customFormat="false" ht="15" hidden="false" customHeight="true" outlineLevel="0" collapsed="false">
      <c r="A66" s="3" t="s">
        <v>819</v>
      </c>
      <c r="B66" s="3" t="s">
        <v>8</v>
      </c>
      <c r="C66" s="3" t="s">
        <v>334</v>
      </c>
      <c r="D66" s="3" t="s">
        <v>958</v>
      </c>
      <c r="E66" s="3" t="s">
        <v>906</v>
      </c>
      <c r="F66" s="3" t="n">
        <v>15</v>
      </c>
      <c r="G66" s="3" t="n">
        <v>20</v>
      </c>
      <c r="H66" s="3" t="n">
        <v>36</v>
      </c>
      <c r="I66" s="3" t="n">
        <v>13</v>
      </c>
      <c r="J66" s="3" t="n">
        <v>20</v>
      </c>
    </row>
    <row r="67" customFormat="false" ht="15" hidden="false" customHeight="true" outlineLevel="0" collapsed="false">
      <c r="A67" s="3" t="s">
        <v>828</v>
      </c>
      <c r="B67" s="3" t="s">
        <v>4</v>
      </c>
      <c r="C67" s="3" t="s">
        <v>827</v>
      </c>
      <c r="D67" s="3" t="s">
        <v>959</v>
      </c>
      <c r="E67" s="3" t="s">
        <v>960</v>
      </c>
      <c r="F67" s="3" t="n">
        <v>30</v>
      </c>
      <c r="G67" s="3" t="n">
        <v>40</v>
      </c>
      <c r="H67" s="3" t="n">
        <v>31</v>
      </c>
      <c r="I67" s="3" t="n">
        <v>4</v>
      </c>
      <c r="J67" s="3" t="n">
        <v>2</v>
      </c>
    </row>
    <row r="68" customFormat="false" ht="15" hidden="false" customHeight="true" outlineLevel="0" collapsed="false">
      <c r="A68" s="3" t="s">
        <v>830</v>
      </c>
      <c r="B68" s="3" t="s">
        <v>829</v>
      </c>
      <c r="C68" s="3" t="s">
        <v>50</v>
      </c>
      <c r="D68" s="3" t="s">
        <v>961</v>
      </c>
      <c r="E68" s="3" t="s">
        <v>725</v>
      </c>
      <c r="F68" s="3" t="n">
        <v>80</v>
      </c>
      <c r="G68" s="3" t="n">
        <v>80</v>
      </c>
      <c r="H68" s="3" t="n">
        <v>37</v>
      </c>
      <c r="I68" s="3" t="n">
        <v>3</v>
      </c>
      <c r="J68" s="3" t="n">
        <v>36</v>
      </c>
    </row>
    <row r="69" customFormat="false" ht="15" hidden="false" customHeight="true" outlineLevel="0" collapsed="false">
      <c r="A69" s="3" t="s">
        <v>854</v>
      </c>
      <c r="B69" s="3" t="s">
        <v>4</v>
      </c>
      <c r="C69" s="3" t="s">
        <v>866</v>
      </c>
      <c r="D69" s="3" t="s">
        <v>962</v>
      </c>
      <c r="E69" s="3" t="s">
        <v>880</v>
      </c>
      <c r="F69" s="3" t="n">
        <v>20</v>
      </c>
      <c r="G69" s="3" t="n">
        <v>25</v>
      </c>
      <c r="H69" s="3" t="n">
        <v>22</v>
      </c>
      <c r="I69" s="3" t="n">
        <v>8</v>
      </c>
      <c r="J69" s="3" t="n">
        <v>16</v>
      </c>
    </row>
    <row r="70" customFormat="false" ht="15" hidden="false" customHeight="true" outlineLevel="0" collapsed="false">
      <c r="A70" s="6" t="s">
        <v>963</v>
      </c>
      <c r="B70" s="6"/>
      <c r="C70" s="6"/>
      <c r="D70" s="6"/>
      <c r="E70" s="6"/>
      <c r="F70" s="6"/>
      <c r="G70" s="6"/>
      <c r="H70" s="6" t="n">
        <f aca="false">SUM(H2:H69)</f>
        <v>1662</v>
      </c>
      <c r="I70" s="6" t="n">
        <f aca="false">SUM(I2:I69)</f>
        <v>389</v>
      </c>
      <c r="J70" s="6" t="n">
        <f aca="false">SUM(J2:J69)</f>
        <v>1163</v>
      </c>
    </row>
  </sheetData>
  <autoFilter ref="A1:J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pane xSplit="0" ySplit="4" topLeftCell="A5" activePane="bottomLeft" state="frozen"/>
      <selection pane="topLeft" activeCell="A1" activeCellId="0" sqref="A1"/>
      <selection pane="bottomLeft" activeCell="A35" activeCellId="0" sqref="A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0.29"/>
    <col collapsed="false" customWidth="true" hidden="false" outlineLevel="0" max="2" min="2" style="0" width="22"/>
    <col collapsed="false" customWidth="true" hidden="false" outlineLevel="0" max="3" min="3" style="0" width="56.57"/>
    <col collapsed="false" customWidth="true" hidden="false" outlineLevel="0" max="4" min="4" style="0" width="28.86"/>
    <col collapsed="false" customWidth="true" hidden="false" outlineLevel="0" max="5" min="5" style="0" width="18.86"/>
    <col collapsed="false" customWidth="true" hidden="false" outlineLevel="0" max="6" min="6" style="0" width="21.43"/>
    <col collapsed="false" customWidth="true" hidden="false" outlineLevel="0" max="7" min="7" style="0" width="39.85"/>
    <col collapsed="false" customWidth="true" hidden="false" outlineLevel="0" max="8" min="8" style="0" width="26.71"/>
    <col collapsed="false" customWidth="true" hidden="false" outlineLevel="0" max="9" min="9" style="0" width="21.14"/>
    <col collapsed="false" customWidth="true" hidden="false" outlineLevel="0" max="10" min="10" style="0" width="14.29"/>
    <col collapsed="false" customWidth="true" hidden="false" outlineLevel="0" max="11" min="11" style="0" width="15.71"/>
  </cols>
  <sheetData>
    <row r="1" customFormat="false" ht="15.75" hidden="false" customHeight="true" outlineLevel="0" collapsed="false">
      <c r="A1" s="7" t="s">
        <v>964</v>
      </c>
    </row>
    <row r="2" customFormat="false" ht="15" hidden="false" customHeight="true" outlineLevel="0" collapsed="false">
      <c r="A2" s="8" t="s">
        <v>965</v>
      </c>
      <c r="C2" s="9" t="s">
        <v>966</v>
      </c>
    </row>
    <row r="3" customFormat="false" ht="15" hidden="false" customHeight="false" outlineLevel="0" collapsed="false">
      <c r="C3" s="0" t="s">
        <v>967</v>
      </c>
      <c r="E3" s="0" t="s">
        <v>968</v>
      </c>
      <c r="F3" s="0" t="s">
        <v>969</v>
      </c>
      <c r="G3" s="0" t="s">
        <v>970</v>
      </c>
      <c r="H3" s="0" t="s">
        <v>971</v>
      </c>
    </row>
    <row r="4" customFormat="false" ht="45" hidden="false" customHeight="true" outlineLevel="0" collapsed="false">
      <c r="A4" s="1" t="s">
        <v>972</v>
      </c>
      <c r="B4" s="1" t="s">
        <v>973</v>
      </c>
      <c r="C4" s="10" t="s">
        <v>974</v>
      </c>
      <c r="D4" s="1" t="s">
        <v>975</v>
      </c>
      <c r="E4" s="1" t="s">
        <v>976</v>
      </c>
      <c r="F4" s="1" t="s">
        <v>977</v>
      </c>
      <c r="G4" s="11" t="s">
        <v>978</v>
      </c>
      <c r="H4" s="10" t="s">
        <v>979</v>
      </c>
      <c r="I4" s="1" t="s">
        <v>980</v>
      </c>
      <c r="J4" s="1" t="s">
        <v>981</v>
      </c>
      <c r="K4" s="1" t="s">
        <v>982</v>
      </c>
    </row>
    <row r="5" customFormat="false" ht="15" hidden="false" customHeight="true" outlineLevel="0" collapsed="false">
      <c r="A5" s="12" t="s">
        <v>356</v>
      </c>
      <c r="B5" s="12" t="n">
        <v>24</v>
      </c>
      <c r="C5" s="13" t="n">
        <f aca="false">B5/22</f>
        <v>1.09090909090909</v>
      </c>
      <c r="D5" s="12" t="n">
        <v>8</v>
      </c>
      <c r="E5" s="12" t="n">
        <v>3</v>
      </c>
      <c r="F5" s="12" t="n">
        <v>3</v>
      </c>
      <c r="G5" s="14" t="n">
        <f aca="false">AVERAGE(E5:F5)</f>
        <v>3</v>
      </c>
      <c r="H5" s="14" t="n">
        <f aca="false">D5/C5</f>
        <v>7.33333333333333</v>
      </c>
      <c r="I5" s="15" t="s">
        <v>983</v>
      </c>
      <c r="J5" s="15" t="s">
        <v>983</v>
      </c>
      <c r="K5" s="15" t="s">
        <v>983</v>
      </c>
    </row>
    <row r="6" customFormat="false" ht="15" hidden="false" customHeight="true" outlineLevel="0" collapsed="false">
      <c r="A6" s="12" t="s">
        <v>364</v>
      </c>
      <c r="B6" s="12" t="n">
        <v>38.3</v>
      </c>
      <c r="C6" s="13" t="n">
        <f aca="false">B6/22</f>
        <v>1.74090909090909</v>
      </c>
      <c r="D6" s="12" t="n">
        <v>6</v>
      </c>
      <c r="E6" s="12" t="n">
        <v>2.4</v>
      </c>
      <c r="F6" s="12" t="n">
        <v>3</v>
      </c>
      <c r="G6" s="14" t="n">
        <f aca="false">AVERAGE(E6:F6)</f>
        <v>2.7</v>
      </c>
      <c r="H6" s="14" t="n">
        <f aca="false">D6/C6</f>
        <v>3.44647519582245</v>
      </c>
      <c r="I6" s="15" t="s">
        <v>983</v>
      </c>
      <c r="J6" s="15" t="s">
        <v>983</v>
      </c>
      <c r="K6" s="15" t="s">
        <v>983</v>
      </c>
    </row>
    <row r="7" customFormat="false" ht="15" hidden="false" customHeight="true" outlineLevel="0" collapsed="false">
      <c r="A7" s="12" t="s">
        <v>374</v>
      </c>
      <c r="B7" s="12" t="n">
        <v>38.3</v>
      </c>
      <c r="C7" s="13" t="n">
        <f aca="false">B7/22</f>
        <v>1.74090909090909</v>
      </c>
      <c r="D7" s="12" t="n">
        <v>6</v>
      </c>
      <c r="E7" s="12" t="n">
        <v>2.4</v>
      </c>
      <c r="F7" s="12" t="n">
        <v>3</v>
      </c>
      <c r="G7" s="14" t="n">
        <f aca="false">AVERAGE(E7:F7)</f>
        <v>2.7</v>
      </c>
      <c r="H7" s="14" t="n">
        <f aca="false">D7/C7</f>
        <v>3.44647519582245</v>
      </c>
      <c r="I7" s="15" t="s">
        <v>983</v>
      </c>
      <c r="J7" s="15" t="s">
        <v>983</v>
      </c>
      <c r="K7" s="15" t="s">
        <v>983</v>
      </c>
    </row>
    <row r="8" customFormat="false" ht="15" hidden="false" customHeight="true" outlineLevel="0" collapsed="false">
      <c r="A8" s="12" t="s">
        <v>387</v>
      </c>
      <c r="B8" s="12" t="n">
        <v>32.5</v>
      </c>
      <c r="C8" s="13" t="n">
        <f aca="false">B8/22</f>
        <v>1.47727272727273</v>
      </c>
      <c r="D8" s="12" t="n">
        <v>4</v>
      </c>
      <c r="E8" s="12" t="n">
        <v>2.4</v>
      </c>
      <c r="F8" s="12" t="n">
        <v>2.4</v>
      </c>
      <c r="G8" s="14" t="n">
        <f aca="false">AVERAGE(E8:F8)</f>
        <v>2.4</v>
      </c>
      <c r="H8" s="14" t="n">
        <f aca="false">D8/C8</f>
        <v>2.70769230769231</v>
      </c>
      <c r="I8" s="15" t="s">
        <v>983</v>
      </c>
      <c r="J8" s="15" t="s">
        <v>983</v>
      </c>
      <c r="K8" s="15" t="s">
        <v>983</v>
      </c>
    </row>
    <row r="9" customFormat="false" ht="15" hidden="false" customHeight="true" outlineLevel="0" collapsed="false">
      <c r="A9" s="12" t="s">
        <v>394</v>
      </c>
      <c r="B9" s="12" t="n">
        <v>32.5</v>
      </c>
      <c r="C9" s="13" t="n">
        <f aca="false">B9/22</f>
        <v>1.47727272727273</v>
      </c>
      <c r="D9" s="12" t="n">
        <v>4</v>
      </c>
      <c r="E9" s="12" t="n">
        <v>2.4</v>
      </c>
      <c r="F9" s="12" t="n">
        <v>2.4</v>
      </c>
      <c r="G9" s="14" t="n">
        <f aca="false">AVERAGE(E9:F9)</f>
        <v>2.4</v>
      </c>
      <c r="H9" s="14" t="n">
        <f aca="false">D9/C9</f>
        <v>2.70769230769231</v>
      </c>
      <c r="I9" s="15" t="s">
        <v>983</v>
      </c>
      <c r="J9" s="15" t="s">
        <v>983</v>
      </c>
      <c r="K9" s="15" t="s">
        <v>983</v>
      </c>
    </row>
    <row r="10" customFormat="false" ht="15" hidden="false" customHeight="true" outlineLevel="0" collapsed="false">
      <c r="A10" s="12" t="s">
        <v>400</v>
      </c>
      <c r="B10" s="12" t="n">
        <v>38.4</v>
      </c>
      <c r="C10" s="13" t="n">
        <f aca="false">B10/22</f>
        <v>1.74545454545455</v>
      </c>
      <c r="D10" s="12" t="n">
        <v>8</v>
      </c>
      <c r="E10" s="12" t="n">
        <v>2</v>
      </c>
      <c r="F10" s="12" t="n">
        <v>4</v>
      </c>
      <c r="G10" s="14" t="n">
        <f aca="false">AVERAGE(E10:F10)</f>
        <v>3</v>
      </c>
      <c r="H10" s="14" t="n">
        <f aca="false">D10/C10</f>
        <v>4.58333333333333</v>
      </c>
      <c r="I10" s="15" t="s">
        <v>983</v>
      </c>
      <c r="J10" s="15" t="s">
        <v>983</v>
      </c>
      <c r="K10" s="15" t="s">
        <v>983</v>
      </c>
    </row>
    <row r="11" customFormat="false" ht="15" hidden="false" customHeight="true" outlineLevel="0" collapsed="false">
      <c r="A11" s="12" t="s">
        <v>422</v>
      </c>
      <c r="B11" s="12" t="n">
        <v>38.4</v>
      </c>
      <c r="C11" s="13" t="n">
        <f aca="false">B11/22</f>
        <v>1.74545454545455</v>
      </c>
      <c r="D11" s="12" t="n">
        <v>8</v>
      </c>
      <c r="E11" s="12" t="n">
        <v>2</v>
      </c>
      <c r="F11" s="12" t="n">
        <v>4</v>
      </c>
      <c r="G11" s="14" t="n">
        <f aca="false">AVERAGE(E11:F11)</f>
        <v>3</v>
      </c>
      <c r="H11" s="14" t="n">
        <f aca="false">D11/C11</f>
        <v>4.58333333333333</v>
      </c>
      <c r="I11" s="15" t="s">
        <v>983</v>
      </c>
      <c r="J11" s="15" t="s">
        <v>983</v>
      </c>
      <c r="K11" s="15" t="s">
        <v>983</v>
      </c>
    </row>
    <row r="12" customFormat="false" ht="15" hidden="false" customHeight="true" outlineLevel="0" collapsed="false">
      <c r="A12" s="12" t="s">
        <v>440</v>
      </c>
      <c r="B12" s="12" t="n">
        <v>25.5</v>
      </c>
      <c r="C12" s="13" t="n">
        <f aca="false">B12/22</f>
        <v>1.15909090909091</v>
      </c>
      <c r="D12" s="12" t="n">
        <v>6</v>
      </c>
      <c r="E12" s="12" t="n">
        <v>2</v>
      </c>
      <c r="F12" s="12" t="n">
        <v>2</v>
      </c>
      <c r="G12" s="14" t="n">
        <f aca="false">AVERAGE(E12:F12)</f>
        <v>2</v>
      </c>
      <c r="H12" s="14" t="n">
        <f aca="false">D12/C12</f>
        <v>5.17647058823529</v>
      </c>
      <c r="I12" s="15" t="s">
        <v>983</v>
      </c>
      <c r="J12" s="15" t="s">
        <v>983</v>
      </c>
      <c r="K12" s="15" t="s">
        <v>983</v>
      </c>
    </row>
    <row r="13" customFormat="false" ht="15" hidden="false" customHeight="true" outlineLevel="0" collapsed="false">
      <c r="A13" s="12" t="s">
        <v>448</v>
      </c>
      <c r="B13" s="12" t="n">
        <v>21.5</v>
      </c>
      <c r="C13" s="13" t="n">
        <f aca="false">B13/22</f>
        <v>0.977272727272727</v>
      </c>
      <c r="D13" s="12" t="n">
        <v>6</v>
      </c>
      <c r="E13" s="12" t="n">
        <v>2.4</v>
      </c>
      <c r="F13" s="12" t="n">
        <v>2.4</v>
      </c>
      <c r="G13" s="14" t="n">
        <f aca="false">AVERAGE(E13:F13)</f>
        <v>2.4</v>
      </c>
      <c r="H13" s="14" t="n">
        <f aca="false">D13/C13</f>
        <v>6.13953488372093</v>
      </c>
      <c r="I13" s="15" t="s">
        <v>983</v>
      </c>
      <c r="J13" s="15" t="s">
        <v>983</v>
      </c>
      <c r="K13" s="15" t="s">
        <v>983</v>
      </c>
    </row>
    <row r="14" customFormat="false" ht="15" hidden="false" customHeight="true" outlineLevel="0" collapsed="false">
      <c r="A14" s="12" t="s">
        <v>457</v>
      </c>
      <c r="B14" s="12" t="n">
        <v>38.3</v>
      </c>
      <c r="C14" s="13" t="n">
        <f aca="false">B14/22</f>
        <v>1.74090909090909</v>
      </c>
      <c r="D14" s="12" t="n">
        <v>4</v>
      </c>
      <c r="E14" s="12" t="n">
        <v>2</v>
      </c>
      <c r="F14" s="12" t="n">
        <v>2</v>
      </c>
      <c r="G14" s="14" t="n">
        <f aca="false">AVERAGE(E14:F14)</f>
        <v>2</v>
      </c>
      <c r="H14" s="14" t="n">
        <f aca="false">D14/C14</f>
        <v>2.2976501305483</v>
      </c>
      <c r="I14" s="15" t="s">
        <v>983</v>
      </c>
      <c r="J14" s="15" t="s">
        <v>983</v>
      </c>
      <c r="K14" s="15" t="s">
        <v>983</v>
      </c>
    </row>
    <row r="15" customFormat="false" ht="15" hidden="false" customHeight="true" outlineLevel="0" collapsed="false">
      <c r="A15" s="12" t="s">
        <v>479</v>
      </c>
      <c r="B15" s="12" t="n">
        <v>38.3</v>
      </c>
      <c r="C15" s="13" t="n">
        <f aca="false">B15/22</f>
        <v>1.74090909090909</v>
      </c>
      <c r="D15" s="12" t="n">
        <v>4</v>
      </c>
      <c r="E15" s="12" t="n">
        <v>2</v>
      </c>
      <c r="F15" s="12" t="n">
        <v>2</v>
      </c>
      <c r="G15" s="14" t="n">
        <f aca="false">AVERAGE(E15:F15)</f>
        <v>2</v>
      </c>
      <c r="H15" s="14" t="n">
        <f aca="false">D15/C15</f>
        <v>2.2976501305483</v>
      </c>
      <c r="I15" s="15" t="s">
        <v>983</v>
      </c>
      <c r="J15" s="15" t="s">
        <v>983</v>
      </c>
      <c r="K15" s="15" t="s">
        <v>983</v>
      </c>
    </row>
    <row r="16" customFormat="false" ht="15" hidden="false" customHeight="true" outlineLevel="0" collapsed="false">
      <c r="A16" s="12" t="s">
        <v>499</v>
      </c>
      <c r="B16" s="12" t="n">
        <v>3</v>
      </c>
      <c r="C16" s="13" t="n">
        <f aca="false">B16/22</f>
        <v>0.136363636363636</v>
      </c>
      <c r="D16" s="12" t="n">
        <v>1</v>
      </c>
      <c r="E16" s="12" t="n">
        <v>2</v>
      </c>
      <c r="F16" s="12" t="n">
        <v>2</v>
      </c>
      <c r="G16" s="14" t="n">
        <f aca="false">AVERAGE(E16:F16)</f>
        <v>2</v>
      </c>
      <c r="H16" s="14" t="n">
        <f aca="false">D16/C16</f>
        <v>7.33333333333333</v>
      </c>
      <c r="I16" s="15" t="s">
        <v>983</v>
      </c>
      <c r="J16" s="15" t="s">
        <v>983</v>
      </c>
      <c r="K16" s="15" t="s">
        <v>983</v>
      </c>
    </row>
    <row r="17" customFormat="false" ht="15" hidden="false" customHeight="true" outlineLevel="0" collapsed="false">
      <c r="A17" s="12" t="s">
        <v>503</v>
      </c>
      <c r="B17" s="12" t="n">
        <v>11</v>
      </c>
      <c r="C17" s="13" t="n">
        <f aca="false">B17/22</f>
        <v>0.5</v>
      </c>
      <c r="D17" s="12" t="n">
        <v>1</v>
      </c>
      <c r="E17" s="12" t="n">
        <v>0.67</v>
      </c>
      <c r="F17" s="12" t="n">
        <v>0.67</v>
      </c>
      <c r="G17" s="14" t="n">
        <f aca="false">AVERAGE(E17:F17)</f>
        <v>0.67</v>
      </c>
      <c r="H17" s="14" t="n">
        <f aca="false">D17/C17</f>
        <v>2</v>
      </c>
      <c r="I17" s="15" t="s">
        <v>983</v>
      </c>
      <c r="J17" s="15" t="s">
        <v>983</v>
      </c>
      <c r="K17" s="15" t="s">
        <v>983</v>
      </c>
    </row>
    <row r="18" customFormat="false" ht="15" hidden="false" customHeight="true" outlineLevel="0" collapsed="false">
      <c r="A18" s="12" t="s">
        <v>514</v>
      </c>
      <c r="B18" s="12" t="n">
        <v>23</v>
      </c>
      <c r="C18" s="13" t="n">
        <f aca="false">B18/22</f>
        <v>1.04545454545455</v>
      </c>
      <c r="D18" s="12" t="n">
        <v>2</v>
      </c>
      <c r="E18" s="12" t="n">
        <v>0.75</v>
      </c>
      <c r="F18" s="12" t="n">
        <v>0.75</v>
      </c>
      <c r="G18" s="14" t="n">
        <f aca="false">AVERAGE(E18:F18)</f>
        <v>0.75</v>
      </c>
      <c r="H18" s="14" t="n">
        <f aca="false">D18/C18</f>
        <v>1.91304347826087</v>
      </c>
      <c r="I18" s="15" t="s">
        <v>983</v>
      </c>
      <c r="J18" s="15" t="s">
        <v>983</v>
      </c>
      <c r="K18" s="15" t="s">
        <v>983</v>
      </c>
    </row>
    <row r="19" customFormat="false" ht="15" hidden="false" customHeight="true" outlineLevel="0" collapsed="false">
      <c r="A19" s="12" t="s">
        <v>523</v>
      </c>
      <c r="B19" s="12" t="n">
        <v>23</v>
      </c>
      <c r="C19" s="13" t="n">
        <f aca="false">B19/22</f>
        <v>1.04545454545455</v>
      </c>
      <c r="D19" s="12" t="n">
        <v>5</v>
      </c>
      <c r="E19" s="12" t="n">
        <v>2</v>
      </c>
      <c r="F19" s="12" t="n">
        <v>2</v>
      </c>
      <c r="G19" s="14" t="n">
        <f aca="false">AVERAGE(E19:F19)</f>
        <v>2</v>
      </c>
      <c r="H19" s="14" t="n">
        <f aca="false">D19/C19</f>
        <v>4.78260869565217</v>
      </c>
      <c r="I19" s="15" t="s">
        <v>983</v>
      </c>
      <c r="J19" s="15" t="s">
        <v>983</v>
      </c>
      <c r="K19" s="15" t="s">
        <v>983</v>
      </c>
    </row>
    <row r="20" customFormat="false" ht="15" hidden="false" customHeight="true" outlineLevel="0" collapsed="false">
      <c r="A20" s="12" t="s">
        <v>531</v>
      </c>
      <c r="B20" s="12" t="n">
        <v>14</v>
      </c>
      <c r="C20" s="13" t="n">
        <f aca="false">B20/22</f>
        <v>0.636363636363636</v>
      </c>
      <c r="D20" s="12" t="n">
        <v>5</v>
      </c>
      <c r="E20" s="12" t="n">
        <v>3</v>
      </c>
      <c r="F20" s="12" t="n">
        <v>3</v>
      </c>
      <c r="G20" s="14" t="n">
        <f aca="false">AVERAGE(E20:F20)</f>
        <v>3</v>
      </c>
      <c r="H20" s="14" t="n">
        <f aca="false">D20/C20</f>
        <v>7.85714285714286</v>
      </c>
      <c r="I20" s="15" t="s">
        <v>983</v>
      </c>
      <c r="J20" s="15" t="s">
        <v>983</v>
      </c>
      <c r="K20" s="15" t="s">
        <v>983</v>
      </c>
    </row>
    <row r="21" customFormat="false" ht="15" hidden="false" customHeight="true" outlineLevel="0" collapsed="false">
      <c r="A21" s="12" t="s">
        <v>535</v>
      </c>
      <c r="B21" s="12" t="n">
        <v>27.5</v>
      </c>
      <c r="C21" s="13" t="n">
        <f aca="false">B21/22</f>
        <v>1.25</v>
      </c>
      <c r="D21" s="12" t="n">
        <v>3</v>
      </c>
      <c r="E21" s="12" t="n">
        <v>1</v>
      </c>
      <c r="F21" s="12" t="n">
        <v>1</v>
      </c>
      <c r="G21" s="14" t="n">
        <f aca="false">AVERAGE(E21:F21)</f>
        <v>1</v>
      </c>
      <c r="H21" s="14" t="n">
        <f aca="false">D21/C21</f>
        <v>2.4</v>
      </c>
      <c r="I21" s="15" t="s">
        <v>983</v>
      </c>
      <c r="J21" s="15" t="s">
        <v>983</v>
      </c>
      <c r="K21" s="15" t="s">
        <v>983</v>
      </c>
    </row>
    <row r="22" customFormat="false" ht="15" hidden="false" customHeight="true" outlineLevel="0" collapsed="false">
      <c r="A22" s="12" t="s">
        <v>541</v>
      </c>
      <c r="B22" s="12" t="n">
        <v>31</v>
      </c>
      <c r="C22" s="13" t="n">
        <f aca="false">B22/22</f>
        <v>1.40909090909091</v>
      </c>
      <c r="D22" s="12" t="n">
        <v>10</v>
      </c>
      <c r="E22" s="12" t="n">
        <v>2.4</v>
      </c>
      <c r="F22" s="12" t="n">
        <v>3</v>
      </c>
      <c r="G22" s="14" t="n">
        <f aca="false">AVERAGE(E22:F22)</f>
        <v>2.7</v>
      </c>
      <c r="H22" s="14" t="n">
        <f aca="false">D22/C22</f>
        <v>7.09677419354839</v>
      </c>
      <c r="I22" s="15" t="s">
        <v>983</v>
      </c>
      <c r="J22" s="15" t="s">
        <v>983</v>
      </c>
      <c r="K22" s="15" t="s">
        <v>983</v>
      </c>
    </row>
    <row r="23" customFormat="false" ht="15" hidden="false" customHeight="true" outlineLevel="0" collapsed="false">
      <c r="A23" s="12" t="s">
        <v>553</v>
      </c>
      <c r="B23" s="12" t="n">
        <v>13</v>
      </c>
      <c r="C23" s="13" t="n">
        <f aca="false">B23/22</f>
        <v>0.590909090909091</v>
      </c>
      <c r="D23" s="12" t="n">
        <v>2</v>
      </c>
      <c r="E23" s="12" t="n">
        <v>1.2</v>
      </c>
      <c r="F23" s="12" t="n">
        <v>1.2</v>
      </c>
      <c r="G23" s="14" t="n">
        <f aca="false">AVERAGE(E23:F23)</f>
        <v>1.2</v>
      </c>
      <c r="H23" s="14" t="n">
        <f aca="false">D23/C23</f>
        <v>3.38461538461538</v>
      </c>
      <c r="I23" s="15" t="s">
        <v>983</v>
      </c>
      <c r="J23" s="15" t="s">
        <v>983</v>
      </c>
      <c r="K23" s="15" t="s">
        <v>983</v>
      </c>
    </row>
    <row r="24" customFormat="false" ht="15" hidden="false" customHeight="true" outlineLevel="0" collapsed="false">
      <c r="A24" s="12" t="s">
        <v>559</v>
      </c>
      <c r="B24" s="12" t="n">
        <v>21</v>
      </c>
      <c r="C24" s="13" t="n">
        <f aca="false">B24/22</f>
        <v>0.954545454545455</v>
      </c>
      <c r="D24" s="12" t="n">
        <v>2</v>
      </c>
      <c r="E24" s="12" t="n">
        <v>0.8</v>
      </c>
      <c r="F24" s="12" t="n">
        <v>0.8</v>
      </c>
      <c r="G24" s="14" t="n">
        <f aca="false">AVERAGE(E24:F24)</f>
        <v>0.8</v>
      </c>
      <c r="H24" s="14" t="n">
        <f aca="false">D24/C24</f>
        <v>2.0952380952381</v>
      </c>
      <c r="I24" s="15" t="s">
        <v>983</v>
      </c>
      <c r="J24" s="15" t="s">
        <v>983</v>
      </c>
      <c r="K24" s="15" t="s">
        <v>983</v>
      </c>
    </row>
    <row r="25" customFormat="false" ht="15" hidden="false" customHeight="true" outlineLevel="0" collapsed="false">
      <c r="A25" s="12" t="s">
        <v>565</v>
      </c>
      <c r="B25" s="12" t="n">
        <v>17.5</v>
      </c>
      <c r="C25" s="13" t="n">
        <f aca="false">B25/22</f>
        <v>0.795454545454545</v>
      </c>
      <c r="D25" s="12" t="n">
        <v>8</v>
      </c>
      <c r="E25" s="12" t="n">
        <v>3</v>
      </c>
      <c r="F25" s="12" t="n">
        <v>4</v>
      </c>
      <c r="G25" s="14" t="n">
        <f aca="false">AVERAGE(E25:F25)</f>
        <v>3.5</v>
      </c>
      <c r="H25" s="14" t="n">
        <f aca="false">D25/C25</f>
        <v>10.0571428571429</v>
      </c>
      <c r="I25" s="15" t="s">
        <v>983</v>
      </c>
      <c r="J25" s="15" t="s">
        <v>983</v>
      </c>
      <c r="K25" s="15" t="s">
        <v>983</v>
      </c>
    </row>
    <row r="26" customFormat="false" ht="15" hidden="false" customHeight="true" outlineLevel="0" collapsed="false">
      <c r="A26" s="12" t="s">
        <v>570</v>
      </c>
      <c r="B26" s="12" t="n">
        <v>15</v>
      </c>
      <c r="C26" s="13" t="n">
        <f aca="false">B26/22</f>
        <v>0.681818181818182</v>
      </c>
      <c r="D26" s="12" t="n">
        <v>2</v>
      </c>
      <c r="E26" s="12" t="n">
        <v>1</v>
      </c>
      <c r="F26" s="12" t="n">
        <v>1</v>
      </c>
      <c r="G26" s="14" t="n">
        <f aca="false">AVERAGE(E26:F26)</f>
        <v>1</v>
      </c>
      <c r="H26" s="14" t="n">
        <f aca="false">D26/C26</f>
        <v>2.93333333333333</v>
      </c>
      <c r="I26" s="15" t="s">
        <v>983</v>
      </c>
      <c r="J26" s="15" t="s">
        <v>983</v>
      </c>
      <c r="K26" s="15" t="s">
        <v>983</v>
      </c>
    </row>
    <row r="27" customFormat="false" ht="15" hidden="false" customHeight="true" outlineLevel="0" collapsed="false">
      <c r="A27" s="12" t="s">
        <v>575</v>
      </c>
      <c r="B27" s="12" t="n">
        <v>15.5</v>
      </c>
      <c r="C27" s="13" t="n">
        <f aca="false">B27/22</f>
        <v>0.704545454545455</v>
      </c>
      <c r="D27" s="12" t="n">
        <v>6</v>
      </c>
      <c r="E27" s="12" t="n">
        <v>3</v>
      </c>
      <c r="F27" s="12" t="n">
        <v>3</v>
      </c>
      <c r="G27" s="14" t="n">
        <f aca="false">AVERAGE(E27:F27)</f>
        <v>3</v>
      </c>
      <c r="H27" s="14" t="n">
        <f aca="false">D27/C27</f>
        <v>8.51612903225806</v>
      </c>
      <c r="I27" s="15" t="s">
        <v>983</v>
      </c>
      <c r="J27" s="15" t="s">
        <v>983</v>
      </c>
      <c r="K27" s="15" t="s">
        <v>983</v>
      </c>
    </row>
    <row r="28" customFormat="false" ht="15" hidden="false" customHeight="true" outlineLevel="0" collapsed="false">
      <c r="A28" s="12" t="s">
        <v>289</v>
      </c>
      <c r="B28" s="12" t="n">
        <v>15.5</v>
      </c>
      <c r="C28" s="13" t="n">
        <f aca="false">B28/22</f>
        <v>0.704545454545455</v>
      </c>
      <c r="D28" s="12" t="n">
        <v>4</v>
      </c>
      <c r="E28" s="12" t="n">
        <v>2</v>
      </c>
      <c r="F28" s="12" t="n">
        <v>2</v>
      </c>
      <c r="G28" s="14" t="n">
        <f aca="false">AVERAGE(E28:F28)</f>
        <v>2</v>
      </c>
      <c r="H28" s="14" t="n">
        <f aca="false">D28/C28</f>
        <v>5.67741935483871</v>
      </c>
      <c r="I28" s="15" t="s">
        <v>983</v>
      </c>
      <c r="J28" s="15" t="s">
        <v>983</v>
      </c>
      <c r="K28" s="15" t="s">
        <v>983</v>
      </c>
    </row>
    <row r="29" customFormat="false" ht="15" hidden="false" customHeight="true" outlineLevel="0" collapsed="false">
      <c r="A29" s="12" t="s">
        <v>583</v>
      </c>
      <c r="B29" s="12" t="n">
        <v>17</v>
      </c>
      <c r="C29" s="13" t="n">
        <f aca="false">B29/22</f>
        <v>0.772727272727273</v>
      </c>
      <c r="D29" s="12" t="n">
        <v>2</v>
      </c>
      <c r="E29" s="12" t="n">
        <v>1</v>
      </c>
      <c r="F29" s="12" t="n">
        <v>1</v>
      </c>
      <c r="G29" s="14" t="n">
        <f aca="false">AVERAGE(E29:F29)</f>
        <v>1</v>
      </c>
      <c r="H29" s="14" t="n">
        <f aca="false">D29/C29</f>
        <v>2.58823529411765</v>
      </c>
      <c r="I29" s="15" t="s">
        <v>983</v>
      </c>
      <c r="J29" s="15" t="s">
        <v>983</v>
      </c>
      <c r="K29" s="15" t="s">
        <v>983</v>
      </c>
    </row>
    <row r="30" customFormat="false" ht="15" hidden="false" customHeight="true" outlineLevel="0" collapsed="false">
      <c r="A30" s="12" t="s">
        <v>588</v>
      </c>
      <c r="B30" s="12" t="n">
        <v>25.6</v>
      </c>
      <c r="C30" s="13" t="n">
        <f aca="false">B30/22</f>
        <v>1.16363636363636</v>
      </c>
      <c r="D30" s="12" t="n">
        <v>9</v>
      </c>
      <c r="E30" s="12" t="n">
        <v>2</v>
      </c>
      <c r="F30" s="12" t="n">
        <v>4</v>
      </c>
      <c r="G30" s="14" t="n">
        <f aca="false">AVERAGE(E30:F30)</f>
        <v>3</v>
      </c>
      <c r="H30" s="14" t="n">
        <f aca="false">D30/C30</f>
        <v>7.734375</v>
      </c>
      <c r="I30" s="15" t="s">
        <v>983</v>
      </c>
      <c r="J30" s="15" t="s">
        <v>983</v>
      </c>
      <c r="K30" s="15" t="s">
        <v>983</v>
      </c>
    </row>
    <row r="31" customFormat="false" ht="15" hidden="false" customHeight="true" outlineLevel="0" collapsed="false">
      <c r="A31" s="12" t="s">
        <v>591</v>
      </c>
      <c r="B31" s="12" t="n">
        <v>25.6</v>
      </c>
      <c r="C31" s="13" t="n">
        <f aca="false">B31/22</f>
        <v>1.16363636363636</v>
      </c>
      <c r="D31" s="12" t="n">
        <v>3</v>
      </c>
      <c r="E31" s="12" t="n">
        <v>1</v>
      </c>
      <c r="F31" s="12" t="n">
        <v>1</v>
      </c>
      <c r="G31" s="14" t="n">
        <f aca="false">AVERAGE(E31:F31)</f>
        <v>1</v>
      </c>
      <c r="H31" s="14" t="n">
        <f aca="false">D31/C31</f>
        <v>2.578125</v>
      </c>
      <c r="I31" s="15" t="s">
        <v>983</v>
      </c>
      <c r="J31" s="15" t="s">
        <v>983</v>
      </c>
      <c r="K31" s="15" t="s">
        <v>983</v>
      </c>
    </row>
    <row r="32" customFormat="false" ht="15" hidden="false" customHeight="true" outlineLevel="0" collapsed="false">
      <c r="A32" s="12" t="s">
        <v>596</v>
      </c>
      <c r="B32" s="12" t="n">
        <v>19.6</v>
      </c>
      <c r="C32" s="13" t="n">
        <f aca="false">B32/22</f>
        <v>0.890909090909091</v>
      </c>
      <c r="D32" s="12" t="n">
        <v>7</v>
      </c>
      <c r="E32" s="12" t="n">
        <v>3</v>
      </c>
      <c r="F32" s="12" t="n">
        <v>3</v>
      </c>
      <c r="G32" s="14" t="n">
        <f aca="false">AVERAGE(E32:F32)</f>
        <v>3</v>
      </c>
      <c r="H32" s="14" t="n">
        <f aca="false">D32/C32</f>
        <v>7.85714285714286</v>
      </c>
      <c r="I32" s="15" t="s">
        <v>983</v>
      </c>
      <c r="J32" s="15" t="s">
        <v>983</v>
      </c>
      <c r="K32" s="15" t="s">
        <v>983</v>
      </c>
    </row>
    <row r="33" customFormat="false" ht="15" hidden="false" customHeight="true" outlineLevel="0" collapsed="false">
      <c r="A33" s="12" t="s">
        <v>599</v>
      </c>
      <c r="B33" s="12" t="n">
        <v>12.8</v>
      </c>
      <c r="C33" s="13" t="n">
        <f aca="false">B33/22</f>
        <v>0.581818181818182</v>
      </c>
      <c r="D33" s="12" t="n">
        <v>6</v>
      </c>
      <c r="E33" s="12" t="n">
        <v>3</v>
      </c>
      <c r="F33" s="12" t="n">
        <v>3</v>
      </c>
      <c r="G33" s="14" t="n">
        <f aca="false">AVERAGE(E33:F33)</f>
        <v>3</v>
      </c>
      <c r="H33" s="14" t="n">
        <f aca="false">D33/C33</f>
        <v>10.3125</v>
      </c>
      <c r="I33" s="15" t="s">
        <v>983</v>
      </c>
      <c r="J33" s="15" t="s">
        <v>983</v>
      </c>
      <c r="K33" s="15" t="s">
        <v>983</v>
      </c>
    </row>
    <row r="34" customFormat="false" ht="15" hidden="false" customHeight="true" outlineLevel="0" collapsed="false">
      <c r="A34" s="12" t="s">
        <v>915</v>
      </c>
      <c r="B34" s="12" t="n">
        <v>9.8</v>
      </c>
      <c r="C34" s="13" t="n">
        <f aca="false">B34/22</f>
        <v>0.445454545454546</v>
      </c>
      <c r="D34" s="12" t="n">
        <v>1</v>
      </c>
      <c r="E34" s="12" t="n">
        <v>0.75</v>
      </c>
      <c r="F34" s="12" t="n">
        <v>0.75</v>
      </c>
      <c r="G34" s="14" t="n">
        <f aca="false">AVERAGE(E34:F34)</f>
        <v>0.75</v>
      </c>
      <c r="H34" s="14" t="n">
        <f aca="false">D34/C34</f>
        <v>2.24489795918367</v>
      </c>
      <c r="I34" s="15" t="s">
        <v>983</v>
      </c>
      <c r="J34" s="15" t="s">
        <v>983</v>
      </c>
      <c r="K34" s="15" t="s">
        <v>983</v>
      </c>
    </row>
    <row r="35" customFormat="false" ht="15" hidden="false" customHeight="true" outlineLevel="0" collapsed="false">
      <c r="A35" s="12" t="s">
        <v>917</v>
      </c>
      <c r="B35" s="12" t="n">
        <v>5.7</v>
      </c>
      <c r="C35" s="13" t="n">
        <f aca="false">B35/22</f>
        <v>0.259090909090909</v>
      </c>
      <c r="D35" s="12" t="n">
        <v>1</v>
      </c>
      <c r="E35" s="12" t="n">
        <v>1.33</v>
      </c>
      <c r="F35" s="12" t="n">
        <v>1.33</v>
      </c>
      <c r="G35" s="14" t="n">
        <f aca="false">AVERAGE(E35:F35)</f>
        <v>1.33</v>
      </c>
      <c r="H35" s="14" t="n">
        <f aca="false">D35/C35</f>
        <v>3.85964912280702</v>
      </c>
      <c r="I35" s="15" t="s">
        <v>983</v>
      </c>
      <c r="J35" s="15" t="s">
        <v>983</v>
      </c>
      <c r="K35" s="15" t="s">
        <v>983</v>
      </c>
    </row>
    <row r="36" customFormat="false" ht="15" hidden="false" customHeight="true" outlineLevel="0" collapsed="false">
      <c r="A36" s="12" t="s">
        <v>602</v>
      </c>
      <c r="B36" s="12" t="n">
        <v>32</v>
      </c>
      <c r="C36" s="13" t="n">
        <f aca="false">B36/22</f>
        <v>1.45454545454545</v>
      </c>
      <c r="D36" s="12" t="n">
        <v>6</v>
      </c>
      <c r="E36" s="12" t="n">
        <v>1.71</v>
      </c>
      <c r="F36" s="12" t="n">
        <v>1.71</v>
      </c>
      <c r="G36" s="14" t="n">
        <f aca="false">AVERAGE(E36:F36)</f>
        <v>1.71</v>
      </c>
      <c r="H36" s="14" t="n">
        <f aca="false">D36/C36</f>
        <v>4.125</v>
      </c>
      <c r="I36" s="15" t="s">
        <v>983</v>
      </c>
      <c r="J36" s="15" t="s">
        <v>983</v>
      </c>
      <c r="K36" s="15" t="s">
        <v>983</v>
      </c>
    </row>
    <row r="37" customFormat="false" ht="15" hidden="false" customHeight="true" outlineLevel="0" collapsed="false">
      <c r="A37" s="12" t="s">
        <v>609</v>
      </c>
      <c r="B37" s="12" t="n">
        <v>26</v>
      </c>
      <c r="C37" s="13" t="n">
        <f aca="false">B37/22</f>
        <v>1.18181818181818</v>
      </c>
      <c r="D37" s="12" t="n">
        <v>6</v>
      </c>
      <c r="E37" s="12" t="n">
        <v>2</v>
      </c>
      <c r="F37" s="12" t="n">
        <v>2</v>
      </c>
      <c r="G37" s="14" t="n">
        <f aca="false">AVERAGE(E37:F37)</f>
        <v>2</v>
      </c>
      <c r="H37" s="14" t="n">
        <f aca="false">D37/C37</f>
        <v>5.07692307692308</v>
      </c>
      <c r="I37" s="15" t="s">
        <v>983</v>
      </c>
      <c r="J37" s="15" t="s">
        <v>983</v>
      </c>
      <c r="K37" s="15" t="s">
        <v>983</v>
      </c>
    </row>
    <row r="38" customFormat="false" ht="15" hidden="false" customHeight="true" outlineLevel="0" collapsed="false">
      <c r="A38" s="12" t="s">
        <v>615</v>
      </c>
      <c r="B38" s="12" t="n">
        <v>21.5</v>
      </c>
      <c r="C38" s="13" t="n">
        <f aca="false">B38/22</f>
        <v>0.977272727272727</v>
      </c>
      <c r="D38" s="12" t="n">
        <v>6</v>
      </c>
      <c r="E38" s="12" t="n">
        <v>2</v>
      </c>
      <c r="F38" s="12" t="n">
        <v>2.4</v>
      </c>
      <c r="G38" s="14" t="n">
        <f aca="false">AVERAGE(E38:F38)</f>
        <v>2.2</v>
      </c>
      <c r="H38" s="14" t="n">
        <f aca="false">D38/C38</f>
        <v>6.13953488372093</v>
      </c>
      <c r="I38" s="15" t="s">
        <v>983</v>
      </c>
      <c r="J38" s="15" t="s">
        <v>983</v>
      </c>
      <c r="K38" s="15" t="s">
        <v>983</v>
      </c>
    </row>
    <row r="39" customFormat="false" ht="15" hidden="false" customHeight="true" outlineLevel="0" collapsed="false">
      <c r="A39" s="12" t="s">
        <v>617</v>
      </c>
      <c r="B39" s="12" t="n">
        <v>21.1</v>
      </c>
      <c r="C39" s="13" t="n">
        <f aca="false">B39/22</f>
        <v>0.959090909090909</v>
      </c>
      <c r="D39" s="12" t="n">
        <v>6</v>
      </c>
      <c r="E39" s="12" t="n">
        <v>2.4</v>
      </c>
      <c r="F39" s="12" t="n">
        <v>2.4</v>
      </c>
      <c r="G39" s="14" t="n">
        <f aca="false">AVERAGE(E39:F39)</f>
        <v>2.4</v>
      </c>
      <c r="H39" s="14" t="n">
        <f aca="false">D39/C39</f>
        <v>6.25592417061611</v>
      </c>
      <c r="I39" s="15" t="s">
        <v>983</v>
      </c>
      <c r="J39" s="15" t="s">
        <v>983</v>
      </c>
      <c r="K39" s="15" t="s">
        <v>983</v>
      </c>
    </row>
    <row r="40" customFormat="false" ht="15" hidden="false" customHeight="true" outlineLevel="0" collapsed="false">
      <c r="A40" s="12" t="s">
        <v>624</v>
      </c>
      <c r="B40" s="12" t="n">
        <v>31</v>
      </c>
      <c r="C40" s="13" t="n">
        <f aca="false">B40/22</f>
        <v>1.40909090909091</v>
      </c>
      <c r="D40" s="12" t="n">
        <v>8</v>
      </c>
      <c r="E40" s="12" t="n">
        <v>2.4</v>
      </c>
      <c r="F40" s="12" t="n">
        <v>2.4</v>
      </c>
      <c r="G40" s="14" t="n">
        <f aca="false">AVERAGE(E40:F40)</f>
        <v>2.4</v>
      </c>
      <c r="H40" s="14" t="n">
        <f aca="false">D40/C40</f>
        <v>5.67741935483871</v>
      </c>
      <c r="I40" s="15" t="s">
        <v>983</v>
      </c>
      <c r="J40" s="15" t="s">
        <v>983</v>
      </c>
      <c r="K40" s="15" t="s">
        <v>983</v>
      </c>
    </row>
    <row r="41" customFormat="false" ht="15" hidden="false" customHeight="true" outlineLevel="0" collapsed="false">
      <c r="A41" s="12" t="s">
        <v>628</v>
      </c>
      <c r="B41" s="12" t="n">
        <v>37.7</v>
      </c>
      <c r="C41" s="13" t="n">
        <f aca="false">B41/22</f>
        <v>1.71363636363636</v>
      </c>
      <c r="D41" s="12" t="n">
        <v>14</v>
      </c>
      <c r="E41" s="12" t="n">
        <v>2</v>
      </c>
      <c r="F41" s="12" t="n">
        <v>4</v>
      </c>
      <c r="G41" s="14" t="n">
        <f aca="false">AVERAGE(E41:F41)</f>
        <v>3</v>
      </c>
      <c r="H41" s="14" t="n">
        <f aca="false">D41/C41</f>
        <v>8.16976127320955</v>
      </c>
      <c r="I41" s="15" t="s">
        <v>983</v>
      </c>
      <c r="J41" s="15" t="s">
        <v>983</v>
      </c>
      <c r="K41" s="15" t="s">
        <v>983</v>
      </c>
    </row>
    <row r="42" customFormat="false" ht="15" hidden="false" customHeight="true" outlineLevel="0" collapsed="false">
      <c r="A42" s="12" t="s">
        <v>635</v>
      </c>
      <c r="B42" s="12" t="n">
        <v>31</v>
      </c>
      <c r="C42" s="13" t="n">
        <f aca="false">B42/22</f>
        <v>1.40909090909091</v>
      </c>
      <c r="D42" s="12" t="n">
        <v>10</v>
      </c>
      <c r="E42" s="12" t="n">
        <v>3</v>
      </c>
      <c r="F42" s="12" t="n">
        <v>3</v>
      </c>
      <c r="G42" s="14" t="n">
        <f aca="false">AVERAGE(E42:F42)</f>
        <v>3</v>
      </c>
      <c r="H42" s="14" t="n">
        <f aca="false">D42/C42</f>
        <v>7.09677419354839</v>
      </c>
      <c r="I42" s="15" t="s">
        <v>983</v>
      </c>
      <c r="J42" s="15" t="s">
        <v>983</v>
      </c>
      <c r="K42" s="15" t="s">
        <v>983</v>
      </c>
    </row>
    <row r="43" customFormat="false" ht="15" hidden="false" customHeight="true" outlineLevel="0" collapsed="false">
      <c r="A43" s="12" t="s">
        <v>927</v>
      </c>
      <c r="B43" s="12" t="n">
        <v>28</v>
      </c>
      <c r="C43" s="13" t="n">
        <f aca="false">B43/22</f>
        <v>1.27272727272727</v>
      </c>
      <c r="D43" s="12" t="n">
        <v>9</v>
      </c>
      <c r="E43" s="12" t="n">
        <v>3</v>
      </c>
      <c r="F43" s="12" t="n">
        <v>3</v>
      </c>
      <c r="G43" s="14" t="n">
        <f aca="false">AVERAGE(E43:F43)</f>
        <v>3</v>
      </c>
      <c r="H43" s="14" t="n">
        <f aca="false">D43/C43</f>
        <v>7.07142857142857</v>
      </c>
      <c r="I43" s="15" t="s">
        <v>983</v>
      </c>
      <c r="J43" s="15" t="s">
        <v>983</v>
      </c>
      <c r="K43" s="15" t="s">
        <v>983</v>
      </c>
    </row>
    <row r="44" customFormat="false" ht="15" hidden="false" customHeight="true" outlineLevel="0" collapsed="false">
      <c r="A44" s="12" t="s">
        <v>647</v>
      </c>
      <c r="B44" s="12" t="n">
        <v>18.3</v>
      </c>
      <c r="C44" s="13" t="n">
        <f aca="false">B44/22</f>
        <v>0.831818181818182</v>
      </c>
      <c r="D44" s="12" t="n">
        <v>7</v>
      </c>
      <c r="E44" s="12" t="n">
        <v>3</v>
      </c>
      <c r="F44" s="12" t="n">
        <v>3</v>
      </c>
      <c r="G44" s="14" t="n">
        <f aca="false">AVERAGE(E44:F44)</f>
        <v>3</v>
      </c>
      <c r="H44" s="14" t="n">
        <f aca="false">D44/C44</f>
        <v>8.41530054644809</v>
      </c>
      <c r="I44" s="15" t="s">
        <v>983</v>
      </c>
      <c r="J44" s="15" t="s">
        <v>983</v>
      </c>
      <c r="K44" s="15" t="s">
        <v>983</v>
      </c>
    </row>
    <row r="45" customFormat="false" ht="15" hidden="false" customHeight="true" outlineLevel="0" collapsed="false">
      <c r="A45" s="12" t="s">
        <v>650</v>
      </c>
      <c r="B45" s="12" t="n">
        <v>23</v>
      </c>
      <c r="C45" s="13" t="n">
        <f aca="false">B45/22</f>
        <v>1.04545454545455</v>
      </c>
      <c r="D45" s="12" t="n">
        <v>4</v>
      </c>
      <c r="E45" s="12" t="n">
        <v>1.5</v>
      </c>
      <c r="F45" s="12" t="n">
        <v>1.5</v>
      </c>
      <c r="G45" s="14" t="n">
        <f aca="false">AVERAGE(E45:F45)</f>
        <v>1.5</v>
      </c>
      <c r="H45" s="14" t="n">
        <f aca="false">D45/C45</f>
        <v>3.82608695652174</v>
      </c>
      <c r="I45" s="15" t="s">
        <v>983</v>
      </c>
      <c r="J45" s="15" t="s">
        <v>983</v>
      </c>
      <c r="K45" s="15" t="s">
        <v>983</v>
      </c>
    </row>
    <row r="46" customFormat="false" ht="15" hidden="false" customHeight="true" outlineLevel="0" collapsed="false">
      <c r="A46" s="12" t="s">
        <v>656</v>
      </c>
      <c r="B46" s="12" t="n">
        <v>19.2</v>
      </c>
      <c r="C46" s="13" t="n">
        <f aca="false">B46/22</f>
        <v>0.872727272727273</v>
      </c>
      <c r="D46" s="12" t="n">
        <v>7</v>
      </c>
      <c r="E46" s="12" t="n">
        <v>3</v>
      </c>
      <c r="F46" s="12" t="n">
        <v>3</v>
      </c>
      <c r="G46" s="14" t="n">
        <f aca="false">AVERAGE(E46:F46)</f>
        <v>3</v>
      </c>
      <c r="H46" s="14" t="n">
        <f aca="false">D46/C46</f>
        <v>8.02083333333333</v>
      </c>
      <c r="I46" s="15" t="s">
        <v>983</v>
      </c>
      <c r="J46" s="15" t="s">
        <v>983</v>
      </c>
      <c r="K46" s="15" t="s">
        <v>983</v>
      </c>
    </row>
    <row r="47" customFormat="false" ht="15" hidden="false" customHeight="true" outlineLevel="0" collapsed="false">
      <c r="A47" s="12" t="s">
        <v>659</v>
      </c>
      <c r="B47" s="12" t="n">
        <v>32</v>
      </c>
      <c r="C47" s="13" t="n">
        <f aca="false">B47/22</f>
        <v>1.45454545454545</v>
      </c>
      <c r="D47" s="12" t="n">
        <v>2</v>
      </c>
      <c r="E47" s="12" t="n">
        <v>1.2</v>
      </c>
      <c r="F47" s="12" t="n">
        <v>1.2</v>
      </c>
      <c r="G47" s="14" t="n">
        <f aca="false">AVERAGE(E47:F47)</f>
        <v>1.2</v>
      </c>
      <c r="H47" s="14" t="n">
        <f aca="false">D47/C47</f>
        <v>1.375</v>
      </c>
      <c r="I47" s="15" t="s">
        <v>983</v>
      </c>
      <c r="J47" s="15" t="s">
        <v>983</v>
      </c>
      <c r="K47" s="15" t="s">
        <v>983</v>
      </c>
    </row>
    <row r="48" customFormat="false" ht="15" hidden="false" customHeight="true" outlineLevel="0" collapsed="false">
      <c r="A48" s="12" t="s">
        <v>665</v>
      </c>
      <c r="B48" s="12" t="n">
        <v>32</v>
      </c>
      <c r="C48" s="13" t="n">
        <f aca="false">B48/22</f>
        <v>1.45454545454545</v>
      </c>
      <c r="D48" s="12" t="n">
        <v>5</v>
      </c>
      <c r="E48" s="12" t="n">
        <v>1.5</v>
      </c>
      <c r="F48" s="12" t="n">
        <v>1.5</v>
      </c>
      <c r="G48" s="14" t="n">
        <f aca="false">AVERAGE(E48:F48)</f>
        <v>1.5</v>
      </c>
      <c r="H48" s="14" t="n">
        <f aca="false">D48/C48</f>
        <v>3.4375</v>
      </c>
      <c r="I48" s="15" t="s">
        <v>983</v>
      </c>
      <c r="J48" s="15" t="s">
        <v>983</v>
      </c>
      <c r="K48" s="15" t="s">
        <v>983</v>
      </c>
    </row>
    <row r="49" customFormat="false" ht="15" hidden="false" customHeight="true" outlineLevel="0" collapsed="false">
      <c r="A49" s="12" t="s">
        <v>693</v>
      </c>
      <c r="B49" s="12" t="n">
        <v>27.5</v>
      </c>
      <c r="C49" s="13" t="n">
        <f aca="false">B49/22</f>
        <v>1.25</v>
      </c>
      <c r="D49" s="12" t="n">
        <v>9</v>
      </c>
      <c r="E49" s="12" t="n">
        <v>3</v>
      </c>
      <c r="F49" s="12" t="n">
        <v>3</v>
      </c>
      <c r="G49" s="14" t="n">
        <f aca="false">AVERAGE(E49:F49)</f>
        <v>3</v>
      </c>
      <c r="H49" s="14" t="n">
        <f aca="false">D49/C49</f>
        <v>7.2</v>
      </c>
      <c r="I49" s="15" t="s">
        <v>983</v>
      </c>
      <c r="J49" s="15" t="s">
        <v>983</v>
      </c>
      <c r="K49" s="15" t="s">
        <v>983</v>
      </c>
    </row>
    <row r="50" customFormat="false" ht="15" hidden="false" customHeight="true" outlineLevel="0" collapsed="false">
      <c r="A50" s="12" t="s">
        <v>428</v>
      </c>
      <c r="B50" s="12" t="n">
        <v>30.8</v>
      </c>
      <c r="C50" s="13" t="n">
        <f aca="false">B50/22</f>
        <v>1.4</v>
      </c>
      <c r="D50" s="12" t="n">
        <v>3</v>
      </c>
      <c r="E50" s="12" t="n">
        <v>1</v>
      </c>
      <c r="F50" s="12" t="n">
        <v>1</v>
      </c>
      <c r="G50" s="14" t="n">
        <f aca="false">AVERAGE(E50:F50)</f>
        <v>1</v>
      </c>
      <c r="H50" s="14" t="n">
        <f aca="false">D50/C50</f>
        <v>2.14285714285714</v>
      </c>
      <c r="I50" s="15" t="s">
        <v>983</v>
      </c>
      <c r="J50" s="15" t="s">
        <v>983</v>
      </c>
      <c r="K50" s="15" t="s">
        <v>983</v>
      </c>
    </row>
    <row r="51" customFormat="false" ht="15" hidden="false" customHeight="true" outlineLevel="0" collapsed="false">
      <c r="A51" s="12" t="s">
        <v>712</v>
      </c>
      <c r="B51" s="12" t="n">
        <v>24</v>
      </c>
      <c r="C51" s="13" t="n">
        <f aca="false">B51/22</f>
        <v>1.09090909090909</v>
      </c>
      <c r="D51" s="12" t="n">
        <v>6</v>
      </c>
      <c r="E51" s="12" t="n">
        <v>2</v>
      </c>
      <c r="F51" s="12" t="n">
        <v>2</v>
      </c>
      <c r="G51" s="14" t="n">
        <f aca="false">AVERAGE(E51:F51)</f>
        <v>2</v>
      </c>
      <c r="H51" s="14" t="n">
        <f aca="false">D51/C51</f>
        <v>5.5</v>
      </c>
      <c r="I51" s="15" t="s">
        <v>983</v>
      </c>
      <c r="J51" s="15" t="s">
        <v>983</v>
      </c>
      <c r="K51" s="15" t="s">
        <v>983</v>
      </c>
    </row>
    <row r="52" customFormat="false" ht="15" hidden="false" customHeight="true" outlineLevel="0" collapsed="false">
      <c r="A52" s="12" t="s">
        <v>720</v>
      </c>
      <c r="B52" s="12" t="n">
        <v>27.9</v>
      </c>
      <c r="C52" s="13" t="n">
        <f aca="false">B52/22</f>
        <v>1.26818181818182</v>
      </c>
      <c r="D52" s="12" t="n">
        <v>4</v>
      </c>
      <c r="E52" s="12" t="n">
        <v>1.33</v>
      </c>
      <c r="F52" s="12" t="n">
        <v>1.33</v>
      </c>
      <c r="G52" s="14" t="n">
        <f aca="false">AVERAGE(E52:F52)</f>
        <v>1.33</v>
      </c>
      <c r="H52" s="14" t="n">
        <f aca="false">D52/C52</f>
        <v>3.15412186379928</v>
      </c>
      <c r="I52" s="15" t="s">
        <v>983</v>
      </c>
      <c r="J52" s="15" t="s">
        <v>983</v>
      </c>
      <c r="K52" s="15" t="s">
        <v>983</v>
      </c>
    </row>
    <row r="53" customFormat="false" ht="15" hidden="false" customHeight="true" outlineLevel="0" collapsed="false">
      <c r="A53" s="12" t="s">
        <v>725</v>
      </c>
      <c r="B53" s="12" t="n">
        <v>20</v>
      </c>
      <c r="C53" s="13" t="n">
        <f aca="false">B53/22</f>
        <v>0.909090909090909</v>
      </c>
      <c r="D53" s="12" t="n">
        <v>5</v>
      </c>
      <c r="E53" s="12" t="n">
        <v>2</v>
      </c>
      <c r="F53" s="12" t="n">
        <v>2</v>
      </c>
      <c r="G53" s="14" t="n">
        <f aca="false">AVERAGE(E53:F53)</f>
        <v>2</v>
      </c>
      <c r="H53" s="14" t="n">
        <f aca="false">D53/C53</f>
        <v>5.5</v>
      </c>
      <c r="I53" s="15" t="s">
        <v>983</v>
      </c>
      <c r="J53" s="15" t="s">
        <v>983</v>
      </c>
      <c r="K53" s="15" t="s">
        <v>983</v>
      </c>
    </row>
    <row r="54" customFormat="false" ht="15" hidden="false" customHeight="true" outlineLevel="0" collapsed="false">
      <c r="A54" s="12" t="s">
        <v>729</v>
      </c>
      <c r="B54" s="12" t="n">
        <v>19.5</v>
      </c>
      <c r="C54" s="13" t="n">
        <f aca="false">B54/22</f>
        <v>0.886363636363636</v>
      </c>
      <c r="D54" s="12" t="n">
        <v>5</v>
      </c>
      <c r="E54" s="12" t="n">
        <v>2</v>
      </c>
      <c r="F54" s="12" t="n">
        <v>2</v>
      </c>
      <c r="G54" s="14" t="n">
        <f aca="false">AVERAGE(E54:F54)</f>
        <v>2</v>
      </c>
      <c r="H54" s="14" t="n">
        <f aca="false">D54/C54</f>
        <v>5.64102564102564</v>
      </c>
      <c r="I54" s="15" t="s">
        <v>983</v>
      </c>
      <c r="J54" s="15" t="s">
        <v>983</v>
      </c>
      <c r="K54" s="15" t="s">
        <v>983</v>
      </c>
    </row>
    <row r="55" customFormat="false" ht="15" hidden="false" customHeight="true" outlineLevel="0" collapsed="false">
      <c r="A55" s="12" t="s">
        <v>731</v>
      </c>
      <c r="B55" s="12" t="n">
        <v>24</v>
      </c>
      <c r="C55" s="13" t="n">
        <f aca="false">B55/22</f>
        <v>1.09090909090909</v>
      </c>
      <c r="D55" s="12" t="n">
        <v>2</v>
      </c>
      <c r="E55" s="12" t="n">
        <v>0.75</v>
      </c>
      <c r="F55" s="12" t="n">
        <v>0.75</v>
      </c>
      <c r="G55" s="14" t="n">
        <f aca="false">AVERAGE(E55:F55)</f>
        <v>0.75</v>
      </c>
      <c r="H55" s="14" t="n">
        <f aca="false">D55/C55</f>
        <v>1.83333333333333</v>
      </c>
      <c r="I55" s="15" t="s">
        <v>983</v>
      </c>
      <c r="J55" s="15" t="s">
        <v>983</v>
      </c>
      <c r="K55" s="15" t="s">
        <v>983</v>
      </c>
    </row>
    <row r="56" customFormat="false" ht="15" hidden="false" customHeight="true" outlineLevel="0" collapsed="false">
      <c r="A56" s="12" t="s">
        <v>738</v>
      </c>
      <c r="B56" s="12" t="n">
        <v>19.8</v>
      </c>
      <c r="C56" s="13" t="n">
        <f aca="false">B56/22</f>
        <v>0.9</v>
      </c>
      <c r="D56" s="12" t="n">
        <v>5</v>
      </c>
      <c r="E56" s="12" t="n">
        <v>2</v>
      </c>
      <c r="F56" s="12" t="n">
        <v>2</v>
      </c>
      <c r="G56" s="14" t="n">
        <f aca="false">AVERAGE(E56:F56)</f>
        <v>2</v>
      </c>
      <c r="H56" s="14" t="n">
        <f aca="false">D56/C56</f>
        <v>5.55555555555556</v>
      </c>
      <c r="I56" s="15" t="s">
        <v>983</v>
      </c>
      <c r="J56" s="15" t="s">
        <v>983</v>
      </c>
      <c r="K56" s="15" t="s">
        <v>983</v>
      </c>
    </row>
    <row r="57" customFormat="false" ht="15" hidden="false" customHeight="true" outlineLevel="0" collapsed="false">
      <c r="A57" s="12" t="s">
        <v>743</v>
      </c>
      <c r="B57" s="12" t="n">
        <v>13</v>
      </c>
      <c r="C57" s="13" t="n">
        <f aca="false">B57/22</f>
        <v>0.590909090909091</v>
      </c>
      <c r="D57" s="12" t="n">
        <v>6</v>
      </c>
      <c r="E57" s="12" t="n">
        <v>4</v>
      </c>
      <c r="F57" s="12" t="n">
        <v>4</v>
      </c>
      <c r="G57" s="14" t="n">
        <f aca="false">AVERAGE(E57:F57)</f>
        <v>4</v>
      </c>
      <c r="H57" s="14" t="n">
        <f aca="false">D57/C57</f>
        <v>10.1538461538462</v>
      </c>
      <c r="I57" s="15" t="s">
        <v>983</v>
      </c>
      <c r="J57" s="15" t="s">
        <v>983</v>
      </c>
      <c r="K57" s="15" t="s">
        <v>983</v>
      </c>
    </row>
    <row r="58" customFormat="false" ht="15" hidden="false" customHeight="true" outlineLevel="0" collapsed="false">
      <c r="A58" s="12" t="s">
        <v>748</v>
      </c>
      <c r="B58" s="12" t="n">
        <v>11</v>
      </c>
      <c r="C58" s="13" t="n">
        <f aca="false">B58/22</f>
        <v>0.5</v>
      </c>
      <c r="D58" s="12" t="n">
        <v>9</v>
      </c>
      <c r="E58" s="12" t="n">
        <v>6</v>
      </c>
      <c r="F58" s="12" t="n">
        <v>6</v>
      </c>
      <c r="G58" s="14" t="n">
        <f aca="false">AVERAGE(E58:F58)</f>
        <v>6</v>
      </c>
      <c r="H58" s="14" t="n">
        <f aca="false">D58/C58</f>
        <v>18</v>
      </c>
      <c r="I58" s="15" t="s">
        <v>983</v>
      </c>
      <c r="J58" s="15" t="s">
        <v>983</v>
      </c>
      <c r="K58" s="15" t="s">
        <v>983</v>
      </c>
    </row>
    <row r="59" customFormat="false" ht="15" hidden="false" customHeight="true" outlineLevel="0" collapsed="false">
      <c r="A59" s="12" t="s">
        <v>755</v>
      </c>
      <c r="B59" s="12" t="n">
        <v>18.1</v>
      </c>
      <c r="C59" s="13" t="n">
        <f aca="false">B59/22</f>
        <v>0.822727272727273</v>
      </c>
      <c r="D59" s="12" t="n">
        <v>10</v>
      </c>
      <c r="E59" s="12" t="n">
        <v>4</v>
      </c>
      <c r="F59" s="12" t="n">
        <v>6</v>
      </c>
      <c r="G59" s="14" t="n">
        <f aca="false">AVERAGE(E59:F59)</f>
        <v>5</v>
      </c>
      <c r="H59" s="14" t="n">
        <f aca="false">D59/C59</f>
        <v>12.1546961325967</v>
      </c>
      <c r="I59" s="15" t="s">
        <v>983</v>
      </c>
      <c r="J59" s="15" t="s">
        <v>983</v>
      </c>
      <c r="K59" s="15" t="s">
        <v>983</v>
      </c>
    </row>
    <row r="60" customFormat="false" ht="15" hidden="false" customHeight="true" outlineLevel="0" collapsed="false">
      <c r="A60" s="12" t="s">
        <v>757</v>
      </c>
      <c r="B60" s="12" t="n">
        <v>26.5</v>
      </c>
      <c r="C60" s="13" t="n">
        <f aca="false">B60/22</f>
        <v>1.20454545454545</v>
      </c>
      <c r="D60" s="12" t="n">
        <v>8</v>
      </c>
      <c r="E60" s="12" t="n">
        <v>3</v>
      </c>
      <c r="F60" s="12" t="n">
        <v>3</v>
      </c>
      <c r="G60" s="14" t="n">
        <f aca="false">AVERAGE(E60:F60)</f>
        <v>3</v>
      </c>
      <c r="H60" s="14" t="n">
        <f aca="false">D60/C60</f>
        <v>6.64150943396226</v>
      </c>
      <c r="I60" s="15" t="s">
        <v>983</v>
      </c>
      <c r="J60" s="15" t="s">
        <v>983</v>
      </c>
      <c r="K60" s="15" t="s">
        <v>983</v>
      </c>
    </row>
    <row r="61" customFormat="false" ht="15" hidden="false" customHeight="true" outlineLevel="0" collapsed="false">
      <c r="A61" s="12" t="s">
        <v>759</v>
      </c>
      <c r="B61" s="12" t="n">
        <v>34</v>
      </c>
      <c r="C61" s="13" t="n">
        <f aca="false">B61/22</f>
        <v>1.54545454545455</v>
      </c>
      <c r="D61" s="12" t="n">
        <v>4</v>
      </c>
      <c r="E61" s="12" t="n">
        <v>1.09</v>
      </c>
      <c r="F61" s="12" t="n">
        <v>1.2</v>
      </c>
      <c r="G61" s="14" t="n">
        <f aca="false">AVERAGE(E61:F61)</f>
        <v>1.145</v>
      </c>
      <c r="H61" s="14" t="n">
        <f aca="false">D61/C61</f>
        <v>2.58823529411765</v>
      </c>
      <c r="I61" s="15" t="s">
        <v>983</v>
      </c>
      <c r="J61" s="15" t="s">
        <v>983</v>
      </c>
      <c r="K61" s="15" t="s">
        <v>983</v>
      </c>
    </row>
    <row r="62" customFormat="false" ht="15" hidden="false" customHeight="true" outlineLevel="0" collapsed="false">
      <c r="A62" s="12" t="s">
        <v>770</v>
      </c>
      <c r="B62" s="12" t="n">
        <v>31</v>
      </c>
      <c r="C62" s="13" t="n">
        <f aca="false">B62/22</f>
        <v>1.40909090909091</v>
      </c>
      <c r="D62" s="12" t="n">
        <v>6</v>
      </c>
      <c r="E62" s="12" t="n">
        <v>1.71</v>
      </c>
      <c r="F62" s="12" t="n">
        <v>1.71</v>
      </c>
      <c r="G62" s="14" t="n">
        <f aca="false">AVERAGE(E62:F62)</f>
        <v>1.71</v>
      </c>
      <c r="H62" s="14" t="n">
        <f aca="false">D62/C62</f>
        <v>4.25806451612903</v>
      </c>
      <c r="I62" s="15" t="s">
        <v>983</v>
      </c>
      <c r="J62" s="15" t="s">
        <v>983</v>
      </c>
      <c r="K62" s="15" t="s">
        <v>983</v>
      </c>
    </row>
    <row r="63" customFormat="false" ht="15" hidden="false" customHeight="true" outlineLevel="0" collapsed="false">
      <c r="A63" s="12" t="s">
        <v>779</v>
      </c>
      <c r="B63" s="12" t="n">
        <v>27.6</v>
      </c>
      <c r="C63" s="13" t="n">
        <f aca="false">B63/22</f>
        <v>1.25454545454545</v>
      </c>
      <c r="D63" s="12" t="n">
        <v>6</v>
      </c>
      <c r="E63" s="12" t="n">
        <v>2</v>
      </c>
      <c r="F63" s="12" t="n">
        <v>2</v>
      </c>
      <c r="G63" s="14" t="n">
        <f aca="false">AVERAGE(E63:F63)</f>
        <v>2</v>
      </c>
      <c r="H63" s="14" t="n">
        <f aca="false">D63/C63</f>
        <v>4.78260869565217</v>
      </c>
      <c r="I63" s="15" t="s">
        <v>983</v>
      </c>
      <c r="J63" s="15" t="s">
        <v>983</v>
      </c>
      <c r="K63" s="15" t="s">
        <v>983</v>
      </c>
    </row>
    <row r="64" customFormat="false" ht="15" hidden="false" customHeight="true" outlineLevel="0" collapsed="false">
      <c r="A64" s="12" t="s">
        <v>784</v>
      </c>
      <c r="B64" s="12" t="n">
        <v>20.4</v>
      </c>
      <c r="C64" s="13" t="n">
        <f aca="false">B64/22</f>
        <v>0.927272727272727</v>
      </c>
      <c r="D64" s="12" t="n">
        <v>6</v>
      </c>
      <c r="E64" s="12" t="n">
        <v>2.4</v>
      </c>
      <c r="F64" s="12" t="n">
        <v>2.4</v>
      </c>
      <c r="G64" s="14" t="n">
        <f aca="false">AVERAGE(E64:F64)</f>
        <v>2.4</v>
      </c>
      <c r="H64" s="14" t="n">
        <f aca="false">D64/C64</f>
        <v>6.47058823529412</v>
      </c>
      <c r="I64" s="15" t="s">
        <v>983</v>
      </c>
      <c r="J64" s="15" t="s">
        <v>983</v>
      </c>
      <c r="K64" s="15" t="s">
        <v>983</v>
      </c>
    </row>
    <row r="65" customFormat="false" ht="15" hidden="false" customHeight="true" outlineLevel="0" collapsed="false">
      <c r="A65" s="12" t="s">
        <v>788</v>
      </c>
      <c r="B65" s="12" t="n">
        <v>26</v>
      </c>
      <c r="C65" s="13" t="n">
        <f aca="false">B65/22</f>
        <v>1.18181818181818</v>
      </c>
      <c r="D65" s="12" t="n">
        <v>8</v>
      </c>
      <c r="E65" s="12" t="n">
        <v>3</v>
      </c>
      <c r="F65" s="12" t="n">
        <v>3</v>
      </c>
      <c r="G65" s="14" t="n">
        <f aca="false">AVERAGE(E65:F65)</f>
        <v>3</v>
      </c>
      <c r="H65" s="14" t="n">
        <f aca="false">D65/C65</f>
        <v>6.76923076923077</v>
      </c>
      <c r="I65" s="15" t="s">
        <v>983</v>
      </c>
      <c r="J65" s="15" t="s">
        <v>983</v>
      </c>
      <c r="K65" s="15" t="s">
        <v>983</v>
      </c>
    </row>
    <row r="66" customFormat="false" ht="15" hidden="false" customHeight="true" outlineLevel="0" collapsed="false">
      <c r="A66" s="12" t="s">
        <v>790</v>
      </c>
      <c r="B66" s="12" t="n">
        <v>24.5</v>
      </c>
      <c r="C66" s="13" t="n">
        <f aca="false">B66/22</f>
        <v>1.11363636363636</v>
      </c>
      <c r="D66" s="12" t="n">
        <v>8</v>
      </c>
      <c r="E66" s="12" t="n">
        <v>3</v>
      </c>
      <c r="F66" s="12" t="n">
        <v>3</v>
      </c>
      <c r="G66" s="14" t="n">
        <f aca="false">AVERAGE(E66:F66)</f>
        <v>3</v>
      </c>
      <c r="H66" s="14" t="n">
        <f aca="false">D66/C66</f>
        <v>7.18367346938776</v>
      </c>
      <c r="I66" s="15" t="s">
        <v>983</v>
      </c>
      <c r="J66" s="15" t="s">
        <v>983</v>
      </c>
      <c r="K66" s="15" t="s">
        <v>983</v>
      </c>
    </row>
    <row r="67" customFormat="false" ht="15" hidden="false" customHeight="true" outlineLevel="0" collapsed="false">
      <c r="A67" s="12" t="s">
        <v>801</v>
      </c>
      <c r="B67" s="12" t="n">
        <v>26.8</v>
      </c>
      <c r="C67" s="13" t="n">
        <f aca="false">B67/22</f>
        <v>1.21818181818182</v>
      </c>
      <c r="D67" s="12" t="n">
        <v>5</v>
      </c>
      <c r="E67" s="12" t="n">
        <v>1.5</v>
      </c>
      <c r="F67" s="12" t="n">
        <v>3</v>
      </c>
      <c r="G67" s="14" t="n">
        <f aca="false">AVERAGE(E67:F67)</f>
        <v>2.25</v>
      </c>
      <c r="H67" s="14" t="n">
        <f aca="false">D67/C67</f>
        <v>4.1044776119403</v>
      </c>
      <c r="I67" s="15" t="s">
        <v>983</v>
      </c>
      <c r="J67" s="15" t="s">
        <v>983</v>
      </c>
      <c r="K67" s="15" t="s">
        <v>983</v>
      </c>
    </row>
    <row r="68" customFormat="false" ht="15" hidden="false" customHeight="true" outlineLevel="0" collapsed="false">
      <c r="A68" s="12" t="s">
        <v>805</v>
      </c>
      <c r="B68" s="12" t="n">
        <v>18.7</v>
      </c>
      <c r="C68" s="13" t="n">
        <f aca="false">B68/22</f>
        <v>0.85</v>
      </c>
      <c r="D68" s="12" t="n">
        <v>12</v>
      </c>
      <c r="E68" s="12" t="n">
        <v>6</v>
      </c>
      <c r="F68" s="12" t="n">
        <v>6</v>
      </c>
      <c r="G68" s="14" t="n">
        <f aca="false">AVERAGE(E68:F68)</f>
        <v>6</v>
      </c>
      <c r="H68" s="14" t="n">
        <f aca="false">D68/C68</f>
        <v>14.1176470588235</v>
      </c>
      <c r="I68" s="15" t="s">
        <v>983</v>
      </c>
      <c r="J68" s="15" t="s">
        <v>983</v>
      </c>
      <c r="K68" s="15" t="s">
        <v>983</v>
      </c>
    </row>
    <row r="69" customFormat="false" ht="15" hidden="false" customHeight="true" outlineLevel="0" collapsed="false">
      <c r="A69" s="12" t="s">
        <v>819</v>
      </c>
      <c r="B69" s="12" t="n">
        <v>36</v>
      </c>
      <c r="C69" s="13" t="n">
        <f aca="false">B69/22</f>
        <v>1.63636363636364</v>
      </c>
      <c r="D69" s="12" t="n">
        <v>13</v>
      </c>
      <c r="E69" s="12" t="n">
        <v>3</v>
      </c>
      <c r="F69" s="12" t="n">
        <v>4</v>
      </c>
      <c r="G69" s="14" t="n">
        <f aca="false">AVERAGE(E69:F69)</f>
        <v>3.5</v>
      </c>
      <c r="H69" s="14" t="n">
        <f aca="false">D69/C69</f>
        <v>7.94444444444444</v>
      </c>
      <c r="I69" s="15" t="s">
        <v>983</v>
      </c>
      <c r="J69" s="15" t="s">
        <v>983</v>
      </c>
      <c r="K69" s="15" t="s">
        <v>983</v>
      </c>
    </row>
    <row r="70" customFormat="false" ht="15" hidden="false" customHeight="true" outlineLevel="0" collapsed="false">
      <c r="A70" s="12" t="s">
        <v>828</v>
      </c>
      <c r="B70" s="12" t="n">
        <v>31</v>
      </c>
      <c r="C70" s="13" t="n">
        <f aca="false">B70/22</f>
        <v>1.40909090909091</v>
      </c>
      <c r="D70" s="12" t="n">
        <v>4</v>
      </c>
      <c r="E70" s="12" t="n">
        <v>1.5</v>
      </c>
      <c r="F70" s="12" t="n">
        <v>2</v>
      </c>
      <c r="G70" s="14" t="n">
        <f aca="false">AVERAGE(E70:F70)</f>
        <v>1.75</v>
      </c>
      <c r="H70" s="14" t="n">
        <f aca="false">D70/C70</f>
        <v>2.83870967741935</v>
      </c>
      <c r="I70" s="15" t="s">
        <v>983</v>
      </c>
      <c r="J70" s="15" t="s">
        <v>983</v>
      </c>
      <c r="K70" s="15" t="s">
        <v>983</v>
      </c>
    </row>
    <row r="71" customFormat="false" ht="15" hidden="false" customHeight="true" outlineLevel="0" collapsed="false">
      <c r="A71" s="12" t="s">
        <v>830</v>
      </c>
      <c r="B71" s="12" t="n">
        <v>37</v>
      </c>
      <c r="C71" s="13" t="n">
        <f aca="false">B71/22</f>
        <v>1.68181818181818</v>
      </c>
      <c r="D71" s="12" t="n">
        <v>3</v>
      </c>
      <c r="E71" s="12" t="n">
        <v>0.75</v>
      </c>
      <c r="F71" s="12" t="n">
        <v>0.75</v>
      </c>
      <c r="G71" s="14" t="n">
        <f aca="false">AVERAGE(E71:F71)</f>
        <v>0.75</v>
      </c>
      <c r="H71" s="14" t="n">
        <f aca="false">D71/C71</f>
        <v>1.78378378378378</v>
      </c>
      <c r="I71" s="15" t="s">
        <v>983</v>
      </c>
      <c r="J71" s="15" t="s">
        <v>983</v>
      </c>
      <c r="K71" s="15" t="s">
        <v>983</v>
      </c>
    </row>
    <row r="72" customFormat="false" ht="15" hidden="false" customHeight="true" outlineLevel="0" collapsed="false">
      <c r="A72" s="12" t="s">
        <v>854</v>
      </c>
      <c r="B72" s="12" t="n">
        <v>22</v>
      </c>
      <c r="C72" s="13" t="n">
        <f aca="false">B72/22</f>
        <v>1</v>
      </c>
      <c r="D72" s="12" t="n">
        <v>8</v>
      </c>
      <c r="E72" s="12" t="n">
        <v>2.4</v>
      </c>
      <c r="F72" s="12" t="n">
        <v>3</v>
      </c>
      <c r="G72" s="14" t="n">
        <f aca="false">AVERAGE(E72:F72)</f>
        <v>2.7</v>
      </c>
      <c r="H72" s="14" t="n">
        <f aca="false">D72/C72</f>
        <v>8</v>
      </c>
      <c r="I72" s="15" t="s">
        <v>983</v>
      </c>
      <c r="J72" s="15" t="s">
        <v>983</v>
      </c>
      <c r="K72" s="15" t="s">
        <v>983</v>
      </c>
    </row>
    <row r="74" customFormat="false" ht="15" hidden="false" customHeight="true" outlineLevel="0" collapsed="false">
      <c r="A74" s="6" t="s">
        <v>984</v>
      </c>
      <c r="D74" s="6" t="n">
        <f aca="false">SUM(D5:D72)</f>
        <v>389</v>
      </c>
    </row>
    <row r="76" customFormat="false" ht="15" hidden="false" customHeight="true" outlineLevel="0" collapsed="false">
      <c r="A76" s="16" t="s">
        <v>985</v>
      </c>
    </row>
    <row r="77" customFormat="false" ht="15" hidden="false" customHeight="true" outlineLevel="0" collapsed="false">
      <c r="A77" s="17" t="s">
        <v>986</v>
      </c>
      <c r="B77" s="18" t="s">
        <v>987</v>
      </c>
      <c r="C77" s="18"/>
      <c r="D77" s="18"/>
      <c r="E77" s="18"/>
      <c r="F77" s="18"/>
      <c r="G77" s="18"/>
      <c r="H77" s="18"/>
    </row>
    <row r="78" customFormat="false" ht="15" hidden="false" customHeight="true" outlineLevel="0" collapsed="false">
      <c r="A78" s="17" t="s">
        <v>988</v>
      </c>
      <c r="B78" s="18" t="s">
        <v>989</v>
      </c>
      <c r="C78" s="18"/>
      <c r="D78" s="18"/>
      <c r="E78" s="18"/>
      <c r="F78" s="18"/>
      <c r="G78" s="18"/>
      <c r="H78" s="18"/>
    </row>
    <row r="79" customFormat="false" ht="15" hidden="false" customHeight="true" outlineLevel="0" collapsed="false">
      <c r="A79" s="17" t="s">
        <v>990</v>
      </c>
      <c r="B79" s="18" t="s">
        <v>991</v>
      </c>
      <c r="C79" s="18"/>
      <c r="D79" s="18"/>
      <c r="E79" s="18"/>
      <c r="F79" s="18"/>
      <c r="G79" s="18"/>
      <c r="H79" s="18"/>
    </row>
    <row r="81" customFormat="false" ht="15" hidden="false" customHeight="true" outlineLevel="0" collapsed="false">
      <c r="A81" s="18" t="s">
        <v>992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</row>
  </sheetData>
  <mergeCells count="4">
    <mergeCell ref="B77:H77"/>
    <mergeCell ref="B78:H78"/>
    <mergeCell ref="B79:H79"/>
    <mergeCell ref="A81:K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1" activeCellId="0" sqref="E2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8.42"/>
    <col collapsed="false" customWidth="true" hidden="false" outlineLevel="0" max="2" min="2" style="0" width="19"/>
  </cols>
  <sheetData>
    <row r="1" customFormat="false" ht="15" hidden="false" customHeight="true" outlineLevel="0" collapsed="false">
      <c r="A1" s="1" t="s">
        <v>993</v>
      </c>
      <c r="B1" s="1" t="s">
        <v>994</v>
      </c>
    </row>
    <row r="2" customFormat="false" ht="15" hidden="false" customHeight="true" outlineLevel="0" collapsed="false">
      <c r="A2" s="3" t="s">
        <v>995</v>
      </c>
      <c r="B2" s="3" t="n">
        <v>68</v>
      </c>
    </row>
    <row r="3" customFormat="false" ht="15" hidden="false" customHeight="true" outlineLevel="0" collapsed="false">
      <c r="A3" s="3" t="s">
        <v>996</v>
      </c>
      <c r="B3" s="3" t="n">
        <v>389</v>
      </c>
    </row>
    <row r="4" customFormat="false" ht="15" hidden="false" customHeight="true" outlineLevel="0" collapsed="false">
      <c r="A4" s="3" t="s">
        <v>997</v>
      </c>
      <c r="B4" s="3" t="n">
        <v>1662</v>
      </c>
    </row>
    <row r="5" customFormat="false" ht="15" hidden="false" customHeight="true" outlineLevel="0" collapsed="false">
      <c r="A5" s="3" t="s">
        <v>998</v>
      </c>
      <c r="B5" s="3" t="n">
        <v>24.44</v>
      </c>
    </row>
    <row r="6" customFormat="false" ht="15" hidden="false" customHeight="true" outlineLevel="0" collapsed="false">
      <c r="A6" s="3" t="s">
        <v>999</v>
      </c>
      <c r="B6" s="3" t="n">
        <v>5.72</v>
      </c>
    </row>
    <row r="7" customFormat="false" ht="15" hidden="false" customHeight="true" outlineLevel="0" collapsed="false">
      <c r="A7" s="3" t="s">
        <v>1000</v>
      </c>
      <c r="B7" s="3" t="n">
        <v>649</v>
      </c>
    </row>
    <row r="9" customFormat="false" ht="15" hidden="false" customHeight="true" outlineLevel="0" collapsed="false">
      <c r="A9" s="19" t="s">
        <v>1001</v>
      </c>
    </row>
    <row r="10" customFormat="false" ht="15" hidden="false" customHeight="true" outlineLevel="0" collapsed="false">
      <c r="A10" s="1" t="s">
        <v>0</v>
      </c>
      <c r="B10" s="1" t="s">
        <v>1002</v>
      </c>
    </row>
    <row r="11" customFormat="false" ht="15" hidden="false" customHeight="true" outlineLevel="0" collapsed="false">
      <c r="A11" s="3" t="s">
        <v>4</v>
      </c>
      <c r="B11" s="3" t="n">
        <v>47</v>
      </c>
    </row>
    <row r="12" customFormat="false" ht="15" hidden="false" customHeight="true" outlineLevel="0" collapsed="false">
      <c r="A12" s="3" t="s">
        <v>6</v>
      </c>
      <c r="B12" s="3" t="n">
        <v>39</v>
      </c>
    </row>
    <row r="13" customFormat="false" ht="15" hidden="false" customHeight="true" outlineLevel="0" collapsed="false">
      <c r="A13" s="3" t="s">
        <v>8</v>
      </c>
      <c r="B13" s="3" t="n">
        <v>33</v>
      </c>
    </row>
    <row r="14" customFormat="false" ht="15" hidden="false" customHeight="true" outlineLevel="0" collapsed="false">
      <c r="A14" s="3" t="s">
        <v>10</v>
      </c>
      <c r="B14" s="3" t="n">
        <v>22</v>
      </c>
    </row>
    <row r="15" customFormat="false" ht="15" hidden="false" customHeight="true" outlineLevel="0" collapsed="false">
      <c r="A15" s="3" t="s">
        <v>12</v>
      </c>
      <c r="B15" s="3" t="n">
        <v>18</v>
      </c>
    </row>
    <row r="16" customFormat="false" ht="15" hidden="false" customHeight="true" outlineLevel="0" collapsed="false">
      <c r="A16" s="3" t="s">
        <v>14</v>
      </c>
      <c r="B16" s="3" t="n">
        <v>16</v>
      </c>
    </row>
    <row r="17" customFormat="false" ht="15" hidden="false" customHeight="true" outlineLevel="0" collapsed="false">
      <c r="A17" s="3" t="s">
        <v>16</v>
      </c>
      <c r="B17" s="3" t="n">
        <v>12</v>
      </c>
    </row>
    <row r="18" customFormat="false" ht="15" hidden="false" customHeight="true" outlineLevel="0" collapsed="false">
      <c r="A18" s="3" t="s">
        <v>18</v>
      </c>
      <c r="B18" s="3" t="n">
        <v>12</v>
      </c>
    </row>
    <row r="19" customFormat="false" ht="15" hidden="false" customHeight="true" outlineLevel="0" collapsed="false">
      <c r="A19" s="3" t="s">
        <v>20</v>
      </c>
      <c r="B19" s="3" t="n">
        <v>10</v>
      </c>
    </row>
    <row r="20" customFormat="false" ht="15" hidden="false" customHeight="true" outlineLevel="0" collapsed="false">
      <c r="A20" s="3" t="s">
        <v>22</v>
      </c>
      <c r="B20" s="3" t="n">
        <v>10</v>
      </c>
    </row>
    <row r="22" customFormat="false" ht="15" hidden="false" customHeight="false" outlineLevel="0" collapsed="false">
      <c r="A22" s="16" t="s">
        <v>1003</v>
      </c>
    </row>
    <row r="23" customFormat="false" ht="15" hidden="false" customHeight="false" outlineLevel="0" collapsed="false">
      <c r="A23" s="20" t="s">
        <v>1004</v>
      </c>
    </row>
    <row r="24" customFormat="false" ht="15" hidden="false" customHeight="false" outlineLevel="0" collapsed="false">
      <c r="A24" s="20" t="s">
        <v>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44"/>
    <col collapsed="false" customWidth="true" hidden="false" outlineLevel="0" max="7" min="6" style="0" width="9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80"/>
  </cols>
  <sheetData>
    <row r="1" customFormat="false" ht="15" hidden="false" customHeight="false" outlineLevel="0" collapsed="false">
      <c r="A1" s="16" t="s">
        <v>1006</v>
      </c>
    </row>
    <row r="2" customFormat="false" ht="15" hidden="false" customHeight="false" outlineLevel="0" collapsed="false">
      <c r="A2" s="20" t="s">
        <v>1007</v>
      </c>
      <c r="B2" s="21" t="n">
        <v>0.291666666666667</v>
      </c>
      <c r="C2" s="21" t="n">
        <v>0.416666666666667</v>
      </c>
      <c r="D2" s="22" t="s">
        <v>1008</v>
      </c>
    </row>
    <row r="3" customFormat="false" ht="15" hidden="false" customHeight="false" outlineLevel="0" collapsed="false">
      <c r="A3" s="20" t="s">
        <v>1009</v>
      </c>
      <c r="B3" s="21" t="n">
        <v>0.416666666666667</v>
      </c>
      <c r="C3" s="21" t="n">
        <v>0.666666666666667</v>
      </c>
      <c r="D3" s="22" t="s">
        <v>1010</v>
      </c>
    </row>
    <row r="4" customFormat="false" ht="15" hidden="false" customHeight="false" outlineLevel="0" collapsed="false">
      <c r="A4" s="20" t="s">
        <v>1011</v>
      </c>
      <c r="B4" s="21" t="n">
        <v>0.666666666666667</v>
      </c>
      <c r="C4" s="21" t="n">
        <v>0.791666666666667</v>
      </c>
    </row>
    <row r="6" customFormat="false" ht="31.5" hidden="false" customHeight="true" outlineLevel="0" collapsed="false">
      <c r="A6" s="23" t="s">
        <v>868</v>
      </c>
      <c r="B6" s="23" t="s">
        <v>1012</v>
      </c>
      <c r="C6" s="23" t="s">
        <v>1013</v>
      </c>
      <c r="D6" s="23" t="s">
        <v>1014</v>
      </c>
      <c r="E6" s="23" t="s">
        <v>1015</v>
      </c>
      <c r="F6" s="23" t="s">
        <v>1016</v>
      </c>
      <c r="G6" s="23" t="s">
        <v>1017</v>
      </c>
      <c r="H6" s="23" t="s">
        <v>1018</v>
      </c>
      <c r="I6" s="23" t="s">
        <v>1019</v>
      </c>
      <c r="J6" s="23" t="s">
        <v>1020</v>
      </c>
      <c r="K6" s="23" t="s">
        <v>1021</v>
      </c>
      <c r="L6" s="23" t="s">
        <v>1022</v>
      </c>
      <c r="M6" s="23" t="s">
        <v>1023</v>
      </c>
      <c r="N6" s="23" t="s">
        <v>1024</v>
      </c>
      <c r="O6" s="23" t="s">
        <v>1025</v>
      </c>
    </row>
    <row r="7" customFormat="false" ht="15" hidden="false" customHeight="false" outlineLevel="0" collapsed="false">
      <c r="A7" s="20" t="s">
        <v>356</v>
      </c>
      <c r="B7" s="20" t="s">
        <v>1026</v>
      </c>
      <c r="C7" s="24" t="n">
        <v>0.256944444444444</v>
      </c>
      <c r="D7" s="24" t="n">
        <v>0.722222222222222</v>
      </c>
      <c r="E7" s="20" t="s">
        <v>1027</v>
      </c>
      <c r="F7" s="24" t="n">
        <v>0.3125</v>
      </c>
      <c r="G7" s="24" t="n">
        <v>0.777777777777778</v>
      </c>
      <c r="H7" s="24" t="n">
        <f aca="false">MIN(C7,F7)</f>
        <v>0.256944444444444</v>
      </c>
      <c r="I7" s="24" t="n">
        <f aca="false">MAX(D7,G7)</f>
        <v>0.777777777777778</v>
      </c>
      <c r="J7" s="25" t="n">
        <f aca="false">IF(I7&lt;H7,(I7+1-H7)*24,(I7-H7)*24)</f>
        <v>12.5</v>
      </c>
      <c r="K7" s="20" t="s">
        <v>1028</v>
      </c>
      <c r="L7" s="26" t="n">
        <f aca="false">IF(AND(H7&lt;$C$2,IF(I7&lt;H7,I7+1,I7)&gt;$B$2),1,0)</f>
        <v>1</v>
      </c>
      <c r="M7" s="26" t="n">
        <f aca="false">IF(AND(H7&lt;$C$3,IF(I7&lt;H7,I7+1,I7)&gt;$B$3),1,0)</f>
        <v>1</v>
      </c>
      <c r="N7" s="26" t="n">
        <f aca="false">IF(AND(H7&lt;$C$4,IF(I7&lt;H7,I7+1,I7)&gt;$B$4),1,0)</f>
        <v>1</v>
      </c>
      <c r="O7" s="20"/>
    </row>
    <row r="8" customFormat="false" ht="15" hidden="false" customHeight="false" outlineLevel="0" collapsed="false">
      <c r="A8" s="20" t="s">
        <v>364</v>
      </c>
      <c r="B8" s="20" t="s">
        <v>1029</v>
      </c>
      <c r="C8" s="24" t="n">
        <v>0.236111111111111</v>
      </c>
      <c r="D8" s="24" t="n">
        <v>0.854166666666667</v>
      </c>
      <c r="E8" s="20"/>
      <c r="F8" s="24"/>
      <c r="G8" s="24"/>
      <c r="H8" s="24" t="n">
        <f aca="false">MIN(C8,F8)</f>
        <v>0.236111111111111</v>
      </c>
      <c r="I8" s="24" t="n">
        <f aca="false">MAX(D8,G8)</f>
        <v>0.854166666666667</v>
      </c>
      <c r="J8" s="25" t="n">
        <f aca="false">IF(I8&lt;H8,(I8+1-H8)*24,(I8-H8)*24)</f>
        <v>14.8333333333333</v>
      </c>
      <c r="K8" s="20" t="s">
        <v>1028</v>
      </c>
      <c r="L8" s="26" t="n">
        <f aca="false">IF(AND(H8&lt;$C$2,IF(I8&lt;H8,I8+1,I8)&gt;$B$2),1,0)</f>
        <v>1</v>
      </c>
      <c r="M8" s="26" t="n">
        <f aca="false">IF(AND(H8&lt;$C$3,IF(I8&lt;H8,I8+1,I8)&gt;$B$3),1,0)</f>
        <v>1</v>
      </c>
      <c r="N8" s="26" t="n">
        <f aca="false">IF(AND(H8&lt;$C$4,IF(I8&lt;H8,I8+1,I8)&gt;$B$4),1,0)</f>
        <v>1</v>
      </c>
      <c r="O8" s="20"/>
    </row>
    <row r="9" customFormat="false" ht="15" hidden="false" customHeight="false" outlineLevel="0" collapsed="false">
      <c r="A9" s="20" t="s">
        <v>374</v>
      </c>
      <c r="B9" s="20" t="s">
        <v>1029</v>
      </c>
      <c r="C9" s="24" t="n">
        <v>0.229166666666667</v>
      </c>
      <c r="D9" s="24" t="n">
        <v>0.847222222222222</v>
      </c>
      <c r="E9" s="20"/>
      <c r="F9" s="24"/>
      <c r="G9" s="24"/>
      <c r="H9" s="24" t="n">
        <f aca="false">MIN(C9,F9)</f>
        <v>0.229166666666667</v>
      </c>
      <c r="I9" s="24" t="n">
        <f aca="false">MAX(D9,G9)</f>
        <v>0.847222222222222</v>
      </c>
      <c r="J9" s="25" t="n">
        <f aca="false">IF(I9&lt;H9,(I9+1-H9)*24,(I9-H9)*24)</f>
        <v>14.8333333333333</v>
      </c>
      <c r="K9" s="20" t="s">
        <v>1028</v>
      </c>
      <c r="L9" s="26" t="n">
        <f aca="false">IF(AND(H9&lt;$C$2,IF(I9&lt;H9,I9+1,I9)&gt;$B$2),1,0)</f>
        <v>1</v>
      </c>
      <c r="M9" s="26" t="n">
        <f aca="false">IF(AND(H9&lt;$C$3,IF(I9&lt;H9,I9+1,I9)&gt;$B$3),1,0)</f>
        <v>1</v>
      </c>
      <c r="N9" s="26" t="n">
        <f aca="false">IF(AND(H9&lt;$C$4,IF(I9&lt;H9,I9+1,I9)&gt;$B$4),1,0)</f>
        <v>1</v>
      </c>
      <c r="O9" s="20"/>
    </row>
    <row r="10" customFormat="false" ht="15" hidden="false" customHeight="false" outlineLevel="0" collapsed="false">
      <c r="A10" s="20" t="s">
        <v>387</v>
      </c>
      <c r="B10" s="20" t="s">
        <v>1029</v>
      </c>
      <c r="C10" s="24" t="n">
        <v>0.28125</v>
      </c>
      <c r="D10" s="24" t="n">
        <v>0.819444444444444</v>
      </c>
      <c r="E10" s="20"/>
      <c r="F10" s="24"/>
      <c r="G10" s="24"/>
      <c r="H10" s="24" t="n">
        <f aca="false">MIN(C10,F10)</f>
        <v>0.28125</v>
      </c>
      <c r="I10" s="24" t="n">
        <f aca="false">MAX(D10,G10)</f>
        <v>0.819444444444444</v>
      </c>
      <c r="J10" s="25" t="n">
        <f aca="false">IF(I10&lt;H10,(I10+1-H10)*24,(I10-H10)*24)</f>
        <v>12.9166666666667</v>
      </c>
      <c r="K10" s="20" t="s">
        <v>1028</v>
      </c>
      <c r="L10" s="26" t="n">
        <f aca="false">IF(AND(H10&lt;$C$2,IF(I10&lt;H10,I10+1,I10)&gt;$B$2),1,0)</f>
        <v>1</v>
      </c>
      <c r="M10" s="26" t="n">
        <f aca="false">IF(AND(H10&lt;$C$3,IF(I10&lt;H10,I10+1,I10)&gt;$B$3),1,0)</f>
        <v>1</v>
      </c>
      <c r="N10" s="26" t="n">
        <f aca="false">IF(AND(H10&lt;$C$4,IF(I10&lt;H10,I10+1,I10)&gt;$B$4),1,0)</f>
        <v>1</v>
      </c>
      <c r="O10" s="20"/>
    </row>
    <row r="11" customFormat="false" ht="15" hidden="false" customHeight="false" outlineLevel="0" collapsed="false">
      <c r="A11" s="20" t="s">
        <v>394</v>
      </c>
      <c r="B11" s="20" t="s">
        <v>1029</v>
      </c>
      <c r="C11" s="24" t="n">
        <v>0.309027777777778</v>
      </c>
      <c r="D11" s="24" t="n">
        <v>0.847222222222222</v>
      </c>
      <c r="E11" s="20"/>
      <c r="F11" s="24"/>
      <c r="G11" s="24"/>
      <c r="H11" s="24" t="n">
        <f aca="false">MIN(C11,F11)</f>
        <v>0.309027777777778</v>
      </c>
      <c r="I11" s="24" t="n">
        <f aca="false">MAX(D11,G11)</f>
        <v>0.847222222222222</v>
      </c>
      <c r="J11" s="25" t="n">
        <f aca="false">IF(I11&lt;H11,(I11+1-H11)*24,(I11-H11)*24)</f>
        <v>12.9166666666667</v>
      </c>
      <c r="K11" s="20" t="s">
        <v>1028</v>
      </c>
      <c r="L11" s="26" t="n">
        <f aca="false">IF(AND(H11&lt;$C$2,IF(I11&lt;H11,I11+1,I11)&gt;$B$2),1,0)</f>
        <v>1</v>
      </c>
      <c r="M11" s="26" t="n">
        <f aca="false">IF(AND(H11&lt;$C$3,IF(I11&lt;H11,I11+1,I11)&gt;$B$3),1,0)</f>
        <v>1</v>
      </c>
      <c r="N11" s="26" t="n">
        <f aca="false">IF(AND(H11&lt;$C$4,IF(I11&lt;H11,I11+1,I11)&gt;$B$4),1,0)</f>
        <v>1</v>
      </c>
      <c r="O11" s="20"/>
    </row>
    <row r="12" customFormat="false" ht="15" hidden="false" customHeight="false" outlineLevel="0" collapsed="false">
      <c r="A12" s="20" t="s">
        <v>400</v>
      </c>
      <c r="B12" s="20" t="s">
        <v>1029</v>
      </c>
      <c r="C12" s="24" t="n">
        <v>0.225694444444444</v>
      </c>
      <c r="D12" s="24" t="n">
        <v>0.875</v>
      </c>
      <c r="E12" s="20"/>
      <c r="F12" s="24"/>
      <c r="G12" s="24"/>
      <c r="H12" s="24" t="n">
        <f aca="false">MIN(C12,F12)</f>
        <v>0.225694444444444</v>
      </c>
      <c r="I12" s="24" t="n">
        <f aca="false">MAX(D12,G12)</f>
        <v>0.875</v>
      </c>
      <c r="J12" s="25" t="n">
        <f aca="false">IF(I12&lt;H12,(I12+1-H12)*24,(I12-H12)*24)</f>
        <v>15.5833333333333</v>
      </c>
      <c r="K12" s="20" t="s">
        <v>1028</v>
      </c>
      <c r="L12" s="26" t="n">
        <f aca="false">IF(AND(H12&lt;$C$2,IF(I12&lt;H12,I12+1,I12)&gt;$B$2),1,0)</f>
        <v>1</v>
      </c>
      <c r="M12" s="26" t="n">
        <f aca="false">IF(AND(H12&lt;$C$3,IF(I12&lt;H12,I12+1,I12)&gt;$B$3),1,0)</f>
        <v>1</v>
      </c>
      <c r="N12" s="26" t="n">
        <f aca="false">IF(AND(H12&lt;$C$4,IF(I12&lt;H12,I12+1,I12)&gt;$B$4),1,0)</f>
        <v>1</v>
      </c>
      <c r="O12" s="20" t="s">
        <v>1030</v>
      </c>
    </row>
    <row r="13" customFormat="false" ht="15" hidden="false" customHeight="false" outlineLevel="0" collapsed="false">
      <c r="A13" s="20" t="s">
        <v>422</v>
      </c>
      <c r="B13" s="20" t="s">
        <v>1029</v>
      </c>
      <c r="C13" s="24" t="n">
        <v>0.243055555555556</v>
      </c>
      <c r="D13" s="24" t="n">
        <v>0.892361111111111</v>
      </c>
      <c r="E13" s="20"/>
      <c r="F13" s="24"/>
      <c r="G13" s="24"/>
      <c r="H13" s="24" t="n">
        <f aca="false">MIN(C13,F13)</f>
        <v>0.243055555555556</v>
      </c>
      <c r="I13" s="24" t="n">
        <f aca="false">MAX(D13,G13)</f>
        <v>0.892361111111111</v>
      </c>
      <c r="J13" s="25" t="n">
        <f aca="false">IF(I13&lt;H13,(I13+1-H13)*24,(I13-H13)*24)</f>
        <v>15.5833333333333</v>
      </c>
      <c r="K13" s="20" t="s">
        <v>1028</v>
      </c>
      <c r="L13" s="26" t="n">
        <f aca="false">IF(AND(H13&lt;$C$2,IF(I13&lt;H13,I13+1,I13)&gt;$B$2),1,0)</f>
        <v>1</v>
      </c>
      <c r="M13" s="26" t="n">
        <f aca="false">IF(AND(H13&lt;$C$3,IF(I13&lt;H13,I13+1,I13)&gt;$B$3),1,0)</f>
        <v>1</v>
      </c>
      <c r="N13" s="26" t="n">
        <f aca="false">IF(AND(H13&lt;$C$4,IF(I13&lt;H13,I13+1,I13)&gt;$B$4),1,0)</f>
        <v>1</v>
      </c>
      <c r="O13" s="20" t="s">
        <v>1031</v>
      </c>
    </row>
    <row r="14" customFormat="false" ht="15" hidden="false" customHeight="false" outlineLevel="0" collapsed="false">
      <c r="A14" s="20" t="s">
        <v>440</v>
      </c>
      <c r="B14" s="20" t="s">
        <v>1032</v>
      </c>
      <c r="C14" s="24" t="n">
        <v>0.208333333333333</v>
      </c>
      <c r="D14" s="24" t="n">
        <v>0.715277777777778</v>
      </c>
      <c r="E14" s="20" t="s">
        <v>1033</v>
      </c>
      <c r="F14" s="24" t="n">
        <v>0.270833333333333</v>
      </c>
      <c r="G14" s="24" t="n">
        <v>0.777777777777778</v>
      </c>
      <c r="H14" s="24" t="n">
        <f aca="false">MIN(C14,F14)</f>
        <v>0.208333333333333</v>
      </c>
      <c r="I14" s="24" t="n">
        <f aca="false">MAX(D14,G14)</f>
        <v>0.777777777777778</v>
      </c>
      <c r="J14" s="25" t="n">
        <f aca="false">IF(I14&lt;H14,(I14+1-H14)*24,(I14-H14)*24)</f>
        <v>13.6666666666667</v>
      </c>
      <c r="K14" s="20" t="s">
        <v>1028</v>
      </c>
      <c r="L14" s="26" t="n">
        <f aca="false">IF(AND(H14&lt;$C$2,IF(I14&lt;H14,I14+1,I14)&gt;$B$2),1,0)</f>
        <v>1</v>
      </c>
      <c r="M14" s="26" t="n">
        <f aca="false">IF(AND(H14&lt;$C$3,IF(I14&lt;H14,I14+1,I14)&gt;$B$3),1,0)</f>
        <v>1</v>
      </c>
      <c r="N14" s="26" t="n">
        <f aca="false">IF(AND(H14&lt;$C$4,IF(I14&lt;H14,I14+1,I14)&gt;$B$4),1,0)</f>
        <v>1</v>
      </c>
      <c r="O14" s="20"/>
    </row>
    <row r="15" customFormat="false" ht="15" hidden="false" customHeight="false" outlineLevel="0" collapsed="false">
      <c r="A15" s="20" t="s">
        <v>448</v>
      </c>
      <c r="B15" s="20" t="s">
        <v>1034</v>
      </c>
      <c r="C15" s="24" t="n">
        <v>0.239583333333333</v>
      </c>
      <c r="D15" s="24" t="n">
        <v>0.777777777777778</v>
      </c>
      <c r="E15" s="20" t="s">
        <v>1035</v>
      </c>
      <c r="F15" s="24" t="n">
        <v>0.291666666666667</v>
      </c>
      <c r="G15" s="24" t="n">
        <v>0.725694444444444</v>
      </c>
      <c r="H15" s="24" t="n">
        <f aca="false">MIN(C15,F15)</f>
        <v>0.239583333333333</v>
      </c>
      <c r="I15" s="24" t="n">
        <f aca="false">MAX(D15,G15)</f>
        <v>0.777777777777778</v>
      </c>
      <c r="J15" s="25" t="n">
        <f aca="false">IF(I15&lt;H15,(I15+1-H15)*24,(I15-H15)*24)</f>
        <v>12.9166666666667</v>
      </c>
      <c r="K15" s="20" t="s">
        <v>1028</v>
      </c>
      <c r="L15" s="26" t="n">
        <f aca="false">IF(AND(H15&lt;$C$2,IF(I15&lt;H15,I15+1,I15)&gt;$B$2),1,0)</f>
        <v>1</v>
      </c>
      <c r="M15" s="26" t="n">
        <f aca="false">IF(AND(H15&lt;$C$3,IF(I15&lt;H15,I15+1,I15)&gt;$B$3),1,0)</f>
        <v>1</v>
      </c>
      <c r="N15" s="26" t="n">
        <f aca="false">IF(AND(H15&lt;$C$4,IF(I15&lt;H15,I15+1,I15)&gt;$B$4),1,0)</f>
        <v>1</v>
      </c>
      <c r="O15" s="20"/>
    </row>
    <row r="16" customFormat="false" ht="15" hidden="false" customHeight="false" outlineLevel="0" collapsed="false">
      <c r="A16" s="20" t="s">
        <v>457</v>
      </c>
      <c r="B16" s="20" t="s">
        <v>1029</v>
      </c>
      <c r="C16" s="24" t="n">
        <v>0.256944444444444</v>
      </c>
      <c r="D16" s="24" t="n">
        <v>0.854166666666667</v>
      </c>
      <c r="E16" s="20"/>
      <c r="F16" s="24"/>
      <c r="G16" s="24"/>
      <c r="H16" s="24" t="n">
        <f aca="false">MIN(C16,F16)</f>
        <v>0.256944444444444</v>
      </c>
      <c r="I16" s="24" t="n">
        <f aca="false">MAX(D16,G16)</f>
        <v>0.854166666666667</v>
      </c>
      <c r="J16" s="25" t="n">
        <f aca="false">IF(I16&lt;H16,(I16+1-H16)*24,(I16-H16)*24)</f>
        <v>14.3333333333333</v>
      </c>
      <c r="K16" s="20" t="s">
        <v>1028</v>
      </c>
      <c r="L16" s="26" t="n">
        <f aca="false">IF(AND(H16&lt;$C$2,IF(I16&lt;H16,I16+1,I16)&gt;$B$2),1,0)</f>
        <v>1</v>
      </c>
      <c r="M16" s="26" t="n">
        <f aca="false">IF(AND(H16&lt;$C$3,IF(I16&lt;H16,I16+1,I16)&gt;$B$3),1,0)</f>
        <v>1</v>
      </c>
      <c r="N16" s="26" t="n">
        <f aca="false">IF(AND(H16&lt;$C$4,IF(I16&lt;H16,I16+1,I16)&gt;$B$4),1,0)</f>
        <v>1</v>
      </c>
      <c r="O16" s="20"/>
    </row>
    <row r="17" customFormat="false" ht="15" hidden="false" customHeight="false" outlineLevel="0" collapsed="false">
      <c r="A17" s="20" t="s">
        <v>479</v>
      </c>
      <c r="B17" s="20" t="s">
        <v>1029</v>
      </c>
      <c r="C17" s="24" t="n">
        <v>0.236111111111111</v>
      </c>
      <c r="D17" s="24" t="n">
        <v>0.864583333333333</v>
      </c>
      <c r="E17" s="20"/>
      <c r="F17" s="24"/>
      <c r="G17" s="24"/>
      <c r="H17" s="24" t="n">
        <f aca="false">MIN(C17,F17)</f>
        <v>0.236111111111111</v>
      </c>
      <c r="I17" s="24" t="n">
        <f aca="false">MAX(D17,G17)</f>
        <v>0.864583333333333</v>
      </c>
      <c r="J17" s="25" t="n">
        <f aca="false">IF(I17&lt;H17,(I17+1-H17)*24,(I17-H17)*24)</f>
        <v>15.0833333333333</v>
      </c>
      <c r="K17" s="20" t="s">
        <v>1028</v>
      </c>
      <c r="L17" s="26" t="n">
        <f aca="false">IF(AND(H17&lt;$C$2,IF(I17&lt;H17,I17+1,I17)&gt;$B$2),1,0)</f>
        <v>1</v>
      </c>
      <c r="M17" s="26" t="n">
        <f aca="false">IF(AND(H17&lt;$C$3,IF(I17&lt;H17,I17+1,I17)&gt;$B$3),1,0)</f>
        <v>1</v>
      </c>
      <c r="N17" s="26" t="n">
        <f aca="false">IF(AND(H17&lt;$C$4,IF(I17&lt;H17,I17+1,I17)&gt;$B$4),1,0)</f>
        <v>1</v>
      </c>
      <c r="O17" s="20" t="s">
        <v>1036</v>
      </c>
    </row>
    <row r="18" customFormat="false" ht="15" hidden="false" customHeight="false" outlineLevel="0" collapsed="false">
      <c r="A18" s="20" t="s">
        <v>499</v>
      </c>
      <c r="B18" s="20" t="s">
        <v>1037</v>
      </c>
      <c r="C18" s="24" t="n">
        <v>0.423611111111111</v>
      </c>
      <c r="D18" s="24" t="n">
        <v>0.659722222222222</v>
      </c>
      <c r="E18" s="20"/>
      <c r="F18" s="24"/>
      <c r="G18" s="24"/>
      <c r="H18" s="24" t="n">
        <f aca="false">MIN(C18,F18)</f>
        <v>0.423611111111111</v>
      </c>
      <c r="I18" s="24" t="n">
        <f aca="false">MAX(D18,G18)</f>
        <v>0.659722222222222</v>
      </c>
      <c r="J18" s="25" t="n">
        <f aca="false">IF(I18&lt;H18,(I18+1-H18)*24,(I18-H18)*24)</f>
        <v>5.66666666666667</v>
      </c>
      <c r="K18" s="20" t="s">
        <v>1038</v>
      </c>
      <c r="L18" s="26" t="n">
        <f aca="false">IF(AND(H18&lt;$C$2,IF(I18&lt;H18,I18+1,I18)&gt;$B$2),1,0)</f>
        <v>0</v>
      </c>
      <c r="M18" s="26" t="n">
        <f aca="false">IF(AND(H18&lt;$C$3,IF(I18&lt;H18,I18+1,I18)&gt;$B$3),1,0)</f>
        <v>1</v>
      </c>
      <c r="N18" s="26" t="n">
        <f aca="false">IF(AND(H18&lt;$C$4,IF(I18&lt;H18,I18+1,I18)&gt;$B$4),1,0)</f>
        <v>0</v>
      </c>
      <c r="O18" s="20" t="s">
        <v>1039</v>
      </c>
    </row>
    <row r="19" customFormat="false" ht="15" hidden="false" customHeight="false" outlineLevel="0" collapsed="false">
      <c r="A19" s="20" t="s">
        <v>503</v>
      </c>
      <c r="B19" s="20" t="s">
        <v>1040</v>
      </c>
      <c r="C19" s="24" t="n">
        <v>0.260416666666667</v>
      </c>
      <c r="D19" s="24" t="n">
        <v>0.822916666666667</v>
      </c>
      <c r="E19" s="20" t="s">
        <v>1041</v>
      </c>
      <c r="F19" s="24" t="n">
        <v>0.291666666666667</v>
      </c>
      <c r="G19" s="24" t="n">
        <v>0.854166666666667</v>
      </c>
      <c r="H19" s="24" t="n">
        <f aca="false">MIN(C19,F19)</f>
        <v>0.260416666666667</v>
      </c>
      <c r="I19" s="24" t="n">
        <f aca="false">MAX(D19,G19)</f>
        <v>0.854166666666667</v>
      </c>
      <c r="J19" s="25" t="n">
        <f aca="false">IF(I19&lt;H19,(I19+1-H19)*24,(I19-H19)*24)</f>
        <v>14.25</v>
      </c>
      <c r="K19" s="20" t="s">
        <v>1028</v>
      </c>
      <c r="L19" s="26" t="n">
        <f aca="false">IF(AND(H19&lt;$C$2,IF(I19&lt;H19,I19+1,I19)&gt;$B$2),1,0)</f>
        <v>1</v>
      </c>
      <c r="M19" s="26" t="n">
        <f aca="false">IF(AND(H19&lt;$C$3,IF(I19&lt;H19,I19+1,I19)&gt;$B$3),1,0)</f>
        <v>1</v>
      </c>
      <c r="N19" s="26" t="n">
        <f aca="false">IF(AND(H19&lt;$C$4,IF(I19&lt;H19,I19+1,I19)&gt;$B$4),1,0)</f>
        <v>1</v>
      </c>
      <c r="O19" s="20"/>
    </row>
    <row r="20" customFormat="false" ht="15" hidden="false" customHeight="false" outlineLevel="0" collapsed="false">
      <c r="A20" s="20" t="s">
        <v>514</v>
      </c>
      <c r="B20" s="20" t="s">
        <v>1042</v>
      </c>
      <c r="C20" s="24" t="n">
        <v>0.350694444444444</v>
      </c>
      <c r="D20" s="24" t="n">
        <v>0.75</v>
      </c>
      <c r="E20" s="20" t="s">
        <v>1043</v>
      </c>
      <c r="F20" s="24" t="n">
        <v>0.298611111111111</v>
      </c>
      <c r="G20" s="24" t="n">
        <v>0.802083333333333</v>
      </c>
      <c r="H20" s="24" t="n">
        <f aca="false">MIN(C20,F20)</f>
        <v>0.298611111111111</v>
      </c>
      <c r="I20" s="24" t="n">
        <f aca="false">MAX(D20,G20)</f>
        <v>0.802083333333333</v>
      </c>
      <c r="J20" s="25" t="n">
        <f aca="false">IF(I20&lt;H20,(I20+1-H20)*24,(I20-H20)*24)</f>
        <v>12.0833333333333</v>
      </c>
      <c r="K20" s="20" t="s">
        <v>1028</v>
      </c>
      <c r="L20" s="26" t="n">
        <f aca="false">IF(AND(H20&lt;$C$2,IF(I20&lt;H20,I20+1,I20)&gt;$B$2),1,0)</f>
        <v>1</v>
      </c>
      <c r="M20" s="26" t="n">
        <f aca="false">IF(AND(H20&lt;$C$3,IF(I20&lt;H20,I20+1,I20)&gt;$B$3),1,0)</f>
        <v>1</v>
      </c>
      <c r="N20" s="26" t="n">
        <f aca="false">IF(AND(H20&lt;$C$4,IF(I20&lt;H20,I20+1,I20)&gt;$B$4),1,0)</f>
        <v>1</v>
      </c>
      <c r="O20" s="20"/>
    </row>
    <row r="21" customFormat="false" ht="15" hidden="false" customHeight="false" outlineLevel="0" collapsed="false">
      <c r="A21" s="20" t="s">
        <v>523</v>
      </c>
      <c r="B21" s="20" t="s">
        <v>1044</v>
      </c>
      <c r="C21" s="24" t="n">
        <v>0.260416666666667</v>
      </c>
      <c r="D21" s="24" t="n">
        <v>0.822916666666667</v>
      </c>
      <c r="E21" s="20" t="s">
        <v>1045</v>
      </c>
      <c r="F21" s="24" t="n">
        <v>0.243055555555556</v>
      </c>
      <c r="G21" s="24" t="n">
        <v>0.875</v>
      </c>
      <c r="H21" s="24" t="n">
        <f aca="false">MIN(C21,F21)</f>
        <v>0.243055555555556</v>
      </c>
      <c r="I21" s="24" t="n">
        <f aca="false">MAX(D21,G21)</f>
        <v>0.875</v>
      </c>
      <c r="J21" s="25" t="n">
        <f aca="false">IF(I21&lt;H21,(I21+1-H21)*24,(I21-H21)*24)</f>
        <v>15.1666666666667</v>
      </c>
      <c r="K21" s="20" t="s">
        <v>1028</v>
      </c>
      <c r="L21" s="26" t="n">
        <f aca="false">IF(AND(H21&lt;$C$2,IF(I21&lt;H21,I21+1,I21)&gt;$B$2),1,0)</f>
        <v>1</v>
      </c>
      <c r="M21" s="26" t="n">
        <f aca="false">IF(AND(H21&lt;$C$3,IF(I21&lt;H21,I21+1,I21)&gt;$B$3),1,0)</f>
        <v>1</v>
      </c>
      <c r="N21" s="26" t="n">
        <f aca="false">IF(AND(H21&lt;$C$4,IF(I21&lt;H21,I21+1,I21)&gt;$B$4),1,0)</f>
        <v>1</v>
      </c>
      <c r="O21" s="20"/>
    </row>
    <row r="22" customFormat="false" ht="15" hidden="false" customHeight="false" outlineLevel="0" collapsed="false">
      <c r="A22" s="20" t="s">
        <v>531</v>
      </c>
      <c r="B22" s="20" t="s">
        <v>1046</v>
      </c>
      <c r="C22" s="24" t="n">
        <v>0.305555555555556</v>
      </c>
      <c r="D22" s="24" t="n">
        <v>0.809027777777778</v>
      </c>
      <c r="E22" s="20" t="s">
        <v>1047</v>
      </c>
      <c r="F22" s="24" t="n">
        <v>0.354166666666667</v>
      </c>
      <c r="G22" s="24" t="n">
        <v>0.84375</v>
      </c>
      <c r="H22" s="24" t="n">
        <f aca="false">MIN(C22,F22)</f>
        <v>0.305555555555556</v>
      </c>
      <c r="I22" s="24" t="n">
        <f aca="false">MAX(D22,G22)</f>
        <v>0.84375</v>
      </c>
      <c r="J22" s="25" t="n">
        <f aca="false">IF(I22&lt;H22,(I22+1-H22)*24,(I22-H22)*24)</f>
        <v>12.9166666666667</v>
      </c>
      <c r="K22" s="20" t="s">
        <v>1028</v>
      </c>
      <c r="L22" s="26" t="n">
        <f aca="false">IF(AND(H22&lt;$C$2,IF(I22&lt;H22,I22+1,I22)&gt;$B$2),1,0)</f>
        <v>1</v>
      </c>
      <c r="M22" s="26" t="n">
        <f aca="false">IF(AND(H22&lt;$C$3,IF(I22&lt;H22,I22+1,I22)&gt;$B$3),1,0)</f>
        <v>1</v>
      </c>
      <c r="N22" s="26" t="n">
        <f aca="false">IF(AND(H22&lt;$C$4,IF(I22&lt;H22,I22+1,I22)&gt;$B$4),1,0)</f>
        <v>1</v>
      </c>
      <c r="O22" s="20"/>
    </row>
    <row r="23" customFormat="false" ht="15" hidden="false" customHeight="false" outlineLevel="0" collapsed="false">
      <c r="A23" s="20" t="s">
        <v>535</v>
      </c>
      <c r="B23" s="20" t="s">
        <v>1048</v>
      </c>
      <c r="C23" s="24" t="n">
        <v>0.229166666666667</v>
      </c>
      <c r="D23" s="24" t="n">
        <v>0.760416666666667</v>
      </c>
      <c r="E23" s="20" t="s">
        <v>1049</v>
      </c>
      <c r="F23" s="24" t="n">
        <v>0.322916666666667</v>
      </c>
      <c r="G23" s="24" t="n">
        <v>0.822916666666667</v>
      </c>
      <c r="H23" s="24" t="n">
        <f aca="false">MIN(C23,F23)</f>
        <v>0.229166666666667</v>
      </c>
      <c r="I23" s="24" t="n">
        <f aca="false">MAX(D23,G23)</f>
        <v>0.822916666666667</v>
      </c>
      <c r="J23" s="25" t="n">
        <f aca="false">IF(I23&lt;H23,(I23+1-H23)*24,(I23-H23)*24)</f>
        <v>14.25</v>
      </c>
      <c r="K23" s="20" t="s">
        <v>1028</v>
      </c>
      <c r="L23" s="26" t="n">
        <f aca="false">IF(AND(H23&lt;$C$2,IF(I23&lt;H23,I23+1,I23)&gt;$B$2),1,0)</f>
        <v>1</v>
      </c>
      <c r="M23" s="26" t="n">
        <f aca="false">IF(AND(H23&lt;$C$3,IF(I23&lt;H23,I23+1,I23)&gt;$B$3),1,0)</f>
        <v>1</v>
      </c>
      <c r="N23" s="26" t="n">
        <f aca="false">IF(AND(H23&lt;$C$4,IF(I23&lt;H23,I23+1,I23)&gt;$B$4),1,0)</f>
        <v>1</v>
      </c>
      <c r="O23" s="20" t="s">
        <v>1050</v>
      </c>
    </row>
    <row r="24" customFormat="false" ht="15" hidden="false" customHeight="false" outlineLevel="0" collapsed="false">
      <c r="A24" s="20" t="s">
        <v>541</v>
      </c>
      <c r="B24" s="20" t="s">
        <v>1051</v>
      </c>
      <c r="C24" s="24" t="n">
        <v>0.236111111111111</v>
      </c>
      <c r="D24" s="24" t="n">
        <v>0.763888888888889</v>
      </c>
      <c r="E24" s="20" t="s">
        <v>1052</v>
      </c>
      <c r="F24" s="24" t="n">
        <v>0.263888888888889</v>
      </c>
      <c r="G24" s="24" t="n">
        <v>0.784722222222222</v>
      </c>
      <c r="H24" s="24" t="n">
        <f aca="false">MIN(C24,F24)</f>
        <v>0.236111111111111</v>
      </c>
      <c r="I24" s="24" t="n">
        <f aca="false">MAX(D24,G24)</f>
        <v>0.784722222222222</v>
      </c>
      <c r="J24" s="25" t="n">
        <f aca="false">IF(I24&lt;H24,(I24+1-H24)*24,(I24-H24)*24)</f>
        <v>13.1666666666667</v>
      </c>
      <c r="K24" s="20" t="s">
        <v>1028</v>
      </c>
      <c r="L24" s="26" t="n">
        <f aca="false">IF(AND(H24&lt;$C$2,IF(I24&lt;H24,I24+1,I24)&gt;$B$2),1,0)</f>
        <v>1</v>
      </c>
      <c r="M24" s="26" t="n">
        <f aca="false">IF(AND(H24&lt;$C$3,IF(I24&lt;H24,I24+1,I24)&gt;$B$3),1,0)</f>
        <v>1</v>
      </c>
      <c r="N24" s="26" t="n">
        <f aca="false">IF(AND(H24&lt;$C$4,IF(I24&lt;H24,I24+1,I24)&gt;$B$4),1,0)</f>
        <v>1</v>
      </c>
      <c r="O24" s="20"/>
    </row>
    <row r="25" customFormat="false" ht="15" hidden="false" customHeight="false" outlineLevel="0" collapsed="false">
      <c r="A25" s="20" t="s">
        <v>553</v>
      </c>
      <c r="B25" s="20" t="s">
        <v>1053</v>
      </c>
      <c r="C25" s="24" t="n">
        <v>0.354166666666667</v>
      </c>
      <c r="D25" s="24" t="n">
        <v>0.597222222222222</v>
      </c>
      <c r="E25" s="20" t="s">
        <v>1054</v>
      </c>
      <c r="F25" s="24" t="n">
        <v>0.354166666666667</v>
      </c>
      <c r="G25" s="24" t="n">
        <v>0.597222222222222</v>
      </c>
      <c r="H25" s="24" t="n">
        <f aca="false">MIN(C25,F25)</f>
        <v>0.354166666666667</v>
      </c>
      <c r="I25" s="24" t="n">
        <f aca="false">MAX(D25,G25)</f>
        <v>0.597222222222222</v>
      </c>
      <c r="J25" s="25" t="n">
        <f aca="false">IF(I25&lt;H25,(I25+1-H25)*24,(I25-H25)*24)</f>
        <v>5.83333333333333</v>
      </c>
      <c r="K25" s="20" t="s">
        <v>1028</v>
      </c>
      <c r="L25" s="26" t="n">
        <f aca="false">IF(AND(H25&lt;$C$2,IF(I25&lt;H25,I25+1,I25)&gt;$B$2),1,0)</f>
        <v>1</v>
      </c>
      <c r="M25" s="26" t="n">
        <f aca="false">IF(AND(H25&lt;$C$3,IF(I25&lt;H25,I25+1,I25)&gt;$B$3),1,0)</f>
        <v>1</v>
      </c>
      <c r="N25" s="26" t="n">
        <f aca="false">IF(AND(H25&lt;$C$4,IF(I25&lt;H25,I25+1,I25)&gt;$B$4),1,0)</f>
        <v>0</v>
      </c>
      <c r="O25" s="20" t="s">
        <v>1055</v>
      </c>
    </row>
    <row r="26" customFormat="false" ht="15" hidden="false" customHeight="false" outlineLevel="0" collapsed="false">
      <c r="A26" s="20" t="s">
        <v>559</v>
      </c>
      <c r="B26" s="20" t="s">
        <v>1056</v>
      </c>
      <c r="C26" s="24" t="n">
        <v>0.253472222222222</v>
      </c>
      <c r="D26" s="24" t="n">
        <v>0.868055555555556</v>
      </c>
      <c r="E26" s="20"/>
      <c r="F26" s="24"/>
      <c r="G26" s="24"/>
      <c r="H26" s="24" t="n">
        <f aca="false">MIN(C26,F26)</f>
        <v>0.253472222222222</v>
      </c>
      <c r="I26" s="24" t="n">
        <f aca="false">MAX(D26,G26)</f>
        <v>0.868055555555556</v>
      </c>
      <c r="J26" s="25" t="n">
        <f aca="false">IF(I26&lt;H26,(I26+1-H26)*24,(I26-H26)*24)</f>
        <v>14.75</v>
      </c>
      <c r="K26" s="20" t="s">
        <v>1028</v>
      </c>
      <c r="L26" s="26" t="n">
        <f aca="false">IF(AND(H26&lt;$C$2,IF(I26&lt;H26,I26+1,I26)&gt;$B$2),1,0)</f>
        <v>1</v>
      </c>
      <c r="M26" s="26" t="n">
        <f aca="false">IF(AND(H26&lt;$C$3,IF(I26&lt;H26,I26+1,I26)&gt;$B$3),1,0)</f>
        <v>1</v>
      </c>
      <c r="N26" s="26" t="n">
        <f aca="false">IF(AND(H26&lt;$C$4,IF(I26&lt;H26,I26+1,I26)&gt;$B$4),1,0)</f>
        <v>1</v>
      </c>
      <c r="O26" s="20" t="s">
        <v>1039</v>
      </c>
    </row>
    <row r="27" customFormat="false" ht="15" hidden="false" customHeight="false" outlineLevel="0" collapsed="false">
      <c r="A27" s="20" t="s">
        <v>565</v>
      </c>
      <c r="B27" s="20" t="s">
        <v>1057</v>
      </c>
      <c r="C27" s="24" t="n">
        <v>0.229166666666667</v>
      </c>
      <c r="D27" s="24" t="n">
        <v>0.732638888888889</v>
      </c>
      <c r="E27" s="20" t="s">
        <v>1058</v>
      </c>
      <c r="F27" s="24" t="n">
        <v>0.277777777777778</v>
      </c>
      <c r="G27" s="24" t="n">
        <v>0.78125</v>
      </c>
      <c r="H27" s="24" t="n">
        <f aca="false">MIN(C27,F27)</f>
        <v>0.229166666666667</v>
      </c>
      <c r="I27" s="24" t="n">
        <f aca="false">MAX(D27,G27)</f>
        <v>0.78125</v>
      </c>
      <c r="J27" s="25" t="n">
        <f aca="false">IF(I27&lt;H27,(I27+1-H27)*24,(I27-H27)*24)</f>
        <v>13.25</v>
      </c>
      <c r="K27" s="20" t="s">
        <v>1028</v>
      </c>
      <c r="L27" s="26" t="n">
        <f aca="false">IF(AND(H27&lt;$C$2,IF(I27&lt;H27,I27+1,I27)&gt;$B$2),1,0)</f>
        <v>1</v>
      </c>
      <c r="M27" s="26" t="n">
        <f aca="false">IF(AND(H27&lt;$C$3,IF(I27&lt;H27,I27+1,I27)&gt;$B$3),1,0)</f>
        <v>1</v>
      </c>
      <c r="N27" s="26" t="n">
        <f aca="false">IF(AND(H27&lt;$C$4,IF(I27&lt;H27,I27+1,I27)&gt;$B$4),1,0)</f>
        <v>1</v>
      </c>
      <c r="O27" s="20"/>
    </row>
    <row r="28" customFormat="false" ht="15" hidden="false" customHeight="false" outlineLevel="0" collapsed="false">
      <c r="A28" s="20" t="s">
        <v>570</v>
      </c>
      <c r="B28" s="20" t="s">
        <v>1059</v>
      </c>
      <c r="C28" s="24" t="n">
        <v>0.357638888888889</v>
      </c>
      <c r="D28" s="24" t="n">
        <v>0.694444444444444</v>
      </c>
      <c r="E28" s="20"/>
      <c r="F28" s="24"/>
      <c r="G28" s="24"/>
      <c r="H28" s="24" t="n">
        <f aca="false">MIN(C28,F28)</f>
        <v>0.357638888888889</v>
      </c>
      <c r="I28" s="24" t="n">
        <f aca="false">MAX(D28,G28)</f>
        <v>0.694444444444444</v>
      </c>
      <c r="J28" s="25" t="n">
        <f aca="false">IF(I28&lt;H28,(I28+1-H28)*24,(I28-H28)*24)</f>
        <v>8.08333333333333</v>
      </c>
      <c r="K28" s="20" t="s">
        <v>1028</v>
      </c>
      <c r="L28" s="26" t="n">
        <f aca="false">IF(AND(H28&lt;$C$2,IF(I28&lt;H28,I28+1,I28)&gt;$B$2),1,0)</f>
        <v>1</v>
      </c>
      <c r="M28" s="26" t="n">
        <f aca="false">IF(AND(H28&lt;$C$3,IF(I28&lt;H28,I28+1,I28)&gt;$B$3),1,0)</f>
        <v>1</v>
      </c>
      <c r="N28" s="26" t="n">
        <f aca="false">IF(AND(H28&lt;$C$4,IF(I28&lt;H28,I28+1,I28)&gt;$B$4),1,0)</f>
        <v>1</v>
      </c>
      <c r="O28" s="20" t="s">
        <v>1039</v>
      </c>
    </row>
    <row r="29" customFormat="false" ht="15" hidden="false" customHeight="false" outlineLevel="0" collapsed="false">
      <c r="A29" s="20" t="s">
        <v>575</v>
      </c>
      <c r="B29" s="20" t="s">
        <v>1060</v>
      </c>
      <c r="C29" s="24" t="n">
        <v>0.236111111111111</v>
      </c>
      <c r="D29" s="24" t="n">
        <v>0.826388888888889</v>
      </c>
      <c r="E29" s="20" t="s">
        <v>1061</v>
      </c>
      <c r="F29" s="24" t="n">
        <v>0.277777777777778</v>
      </c>
      <c r="G29" s="24" t="n">
        <v>0.861111111111111</v>
      </c>
      <c r="H29" s="24" t="n">
        <f aca="false">MIN(C29,F29)</f>
        <v>0.236111111111111</v>
      </c>
      <c r="I29" s="24" t="n">
        <f aca="false">MAX(D29,G29)</f>
        <v>0.861111111111111</v>
      </c>
      <c r="J29" s="25" t="n">
        <f aca="false">IF(I29&lt;H29,(I29+1-H29)*24,(I29-H29)*24)</f>
        <v>15</v>
      </c>
      <c r="K29" s="20" t="s">
        <v>1028</v>
      </c>
      <c r="L29" s="26" t="n">
        <f aca="false">IF(AND(H29&lt;$C$2,IF(I29&lt;H29,I29+1,I29)&gt;$B$2),1,0)</f>
        <v>1</v>
      </c>
      <c r="M29" s="26" t="n">
        <f aca="false">IF(AND(H29&lt;$C$3,IF(I29&lt;H29,I29+1,I29)&gt;$B$3),1,0)</f>
        <v>1</v>
      </c>
      <c r="N29" s="26" t="n">
        <f aca="false">IF(AND(H29&lt;$C$4,IF(I29&lt;H29,I29+1,I29)&gt;$B$4),1,0)</f>
        <v>1</v>
      </c>
      <c r="O29" s="20"/>
    </row>
    <row r="30" customFormat="false" ht="15" hidden="false" customHeight="false" outlineLevel="0" collapsed="false">
      <c r="A30" s="20" t="s">
        <v>289</v>
      </c>
      <c r="B30" s="20" t="s">
        <v>1062</v>
      </c>
      <c r="C30" s="24" t="n">
        <v>0.256944444444444</v>
      </c>
      <c r="D30" s="24" t="n">
        <v>0.802083333333333</v>
      </c>
      <c r="E30" s="20" t="s">
        <v>1063</v>
      </c>
      <c r="F30" s="24" t="n">
        <v>0.260416666666667</v>
      </c>
      <c r="G30" s="24" t="n">
        <v>0.84375</v>
      </c>
      <c r="H30" s="24" t="n">
        <f aca="false">MIN(C30,F30)</f>
        <v>0.256944444444444</v>
      </c>
      <c r="I30" s="24" t="n">
        <f aca="false">MAX(D30,G30)</f>
        <v>0.84375</v>
      </c>
      <c r="J30" s="25" t="n">
        <f aca="false">IF(I30&lt;H30,(I30+1-H30)*24,(I30-H30)*24)</f>
        <v>14.0833333333333</v>
      </c>
      <c r="K30" s="20" t="s">
        <v>1028</v>
      </c>
      <c r="L30" s="26" t="n">
        <f aca="false">IF(AND(H30&lt;$C$2,IF(I30&lt;H30,I30+1,I30)&gt;$B$2),1,0)</f>
        <v>1</v>
      </c>
      <c r="M30" s="26" t="n">
        <f aca="false">IF(AND(H30&lt;$C$3,IF(I30&lt;H30,I30+1,I30)&gt;$B$3),1,0)</f>
        <v>1</v>
      </c>
      <c r="N30" s="26" t="n">
        <f aca="false">IF(AND(H30&lt;$C$4,IF(I30&lt;H30,I30+1,I30)&gt;$B$4),1,0)</f>
        <v>1</v>
      </c>
      <c r="O30" s="20"/>
    </row>
    <row r="31" customFormat="false" ht="15" hidden="false" customHeight="false" outlineLevel="0" collapsed="false">
      <c r="A31" s="20" t="s">
        <v>583</v>
      </c>
      <c r="B31" s="20" t="s">
        <v>1064</v>
      </c>
      <c r="C31" s="24" t="n">
        <v>0.354166666666667</v>
      </c>
      <c r="D31" s="24" t="n">
        <v>0.604166666666667</v>
      </c>
      <c r="E31" s="20" t="s">
        <v>1065</v>
      </c>
      <c r="F31" s="24" t="n">
        <v>0.354166666666667</v>
      </c>
      <c r="G31" s="24" t="n">
        <v>0.604166666666667</v>
      </c>
      <c r="H31" s="24" t="n">
        <f aca="false">MIN(C31,F31)</f>
        <v>0.354166666666667</v>
      </c>
      <c r="I31" s="24" t="n">
        <f aca="false">MAX(D31,G31)</f>
        <v>0.604166666666667</v>
      </c>
      <c r="J31" s="25" t="n">
        <f aca="false">IF(I31&lt;H31,(I31+1-H31)*24,(I31-H31)*24)</f>
        <v>6</v>
      </c>
      <c r="K31" s="20" t="s">
        <v>1028</v>
      </c>
      <c r="L31" s="26" t="n">
        <f aca="false">IF(AND(H31&lt;$C$2,IF(I31&lt;H31,I31+1,I31)&gt;$B$2),1,0)</f>
        <v>1</v>
      </c>
      <c r="M31" s="26" t="n">
        <f aca="false">IF(AND(H31&lt;$C$3,IF(I31&lt;H31,I31+1,I31)&gt;$B$3),1,0)</f>
        <v>1</v>
      </c>
      <c r="N31" s="26" t="n">
        <f aca="false">IF(AND(H31&lt;$C$4,IF(I31&lt;H31,I31+1,I31)&gt;$B$4),1,0)</f>
        <v>0</v>
      </c>
      <c r="O31" s="20" t="s">
        <v>1055</v>
      </c>
    </row>
    <row r="32" customFormat="false" ht="15" hidden="false" customHeight="false" outlineLevel="0" collapsed="false">
      <c r="A32" s="20" t="s">
        <v>588</v>
      </c>
      <c r="B32" s="20" t="s">
        <v>1066</v>
      </c>
      <c r="C32" s="24" t="n">
        <v>0.229166666666667</v>
      </c>
      <c r="D32" s="24" t="n">
        <v>0.833333333333333</v>
      </c>
      <c r="E32" s="20" t="s">
        <v>1067</v>
      </c>
      <c r="F32" s="24" t="n">
        <v>0.28125</v>
      </c>
      <c r="G32" s="24" t="n">
        <v>0.864583333333333</v>
      </c>
      <c r="H32" s="24" t="n">
        <f aca="false">MIN(C32,F32)</f>
        <v>0.229166666666667</v>
      </c>
      <c r="I32" s="24" t="n">
        <f aca="false">MAX(D32,G32)</f>
        <v>0.864583333333333</v>
      </c>
      <c r="J32" s="25" t="n">
        <f aca="false">IF(I32&lt;H32,(I32+1-H32)*24,(I32-H32)*24)</f>
        <v>15.25</v>
      </c>
      <c r="K32" s="20" t="s">
        <v>1028</v>
      </c>
      <c r="L32" s="26" t="n">
        <f aca="false">IF(AND(H32&lt;$C$2,IF(I32&lt;H32,I32+1,I32)&gt;$B$2),1,0)</f>
        <v>1</v>
      </c>
      <c r="M32" s="26" t="n">
        <f aca="false">IF(AND(H32&lt;$C$3,IF(I32&lt;H32,I32+1,I32)&gt;$B$3),1,0)</f>
        <v>1</v>
      </c>
      <c r="N32" s="26" t="n">
        <f aca="false">IF(AND(H32&lt;$C$4,IF(I32&lt;H32,I32+1,I32)&gt;$B$4),1,0)</f>
        <v>1</v>
      </c>
      <c r="O32" s="20" t="s">
        <v>1068</v>
      </c>
    </row>
    <row r="33" customFormat="false" ht="15" hidden="false" customHeight="false" outlineLevel="0" collapsed="false">
      <c r="A33" s="20" t="s">
        <v>591</v>
      </c>
      <c r="B33" s="20" t="s">
        <v>1066</v>
      </c>
      <c r="C33" s="24" t="n">
        <v>0.322916666666667</v>
      </c>
      <c r="D33" s="24" t="n">
        <v>0.78125</v>
      </c>
      <c r="E33" s="20" t="s">
        <v>1067</v>
      </c>
      <c r="F33" s="24" t="n">
        <v>0.260416666666667</v>
      </c>
      <c r="G33" s="24" t="n">
        <v>0.84375</v>
      </c>
      <c r="H33" s="24" t="n">
        <f aca="false">MIN(C33,F33)</f>
        <v>0.260416666666667</v>
      </c>
      <c r="I33" s="24" t="n">
        <f aca="false">MAX(D33,G33)</f>
        <v>0.84375</v>
      </c>
      <c r="J33" s="25" t="n">
        <f aca="false">IF(I33&lt;H33,(I33+1-H33)*24,(I33-H33)*24)</f>
        <v>14</v>
      </c>
      <c r="K33" s="20" t="s">
        <v>1028</v>
      </c>
      <c r="L33" s="26" t="n">
        <f aca="false">IF(AND(H33&lt;$C$2,IF(I33&lt;H33,I33+1,I33)&gt;$B$2),1,0)</f>
        <v>1</v>
      </c>
      <c r="M33" s="26" t="n">
        <f aca="false">IF(AND(H33&lt;$C$3,IF(I33&lt;H33,I33+1,I33)&gt;$B$3),1,0)</f>
        <v>1</v>
      </c>
      <c r="N33" s="26" t="n">
        <f aca="false">IF(AND(H33&lt;$C$4,IF(I33&lt;H33,I33+1,I33)&gt;$B$4),1,0)</f>
        <v>1</v>
      </c>
      <c r="O33" s="20"/>
    </row>
    <row r="34" customFormat="false" ht="15" hidden="false" customHeight="false" outlineLevel="0" collapsed="false">
      <c r="A34" s="20" t="s">
        <v>596</v>
      </c>
      <c r="B34" s="20" t="s">
        <v>1069</v>
      </c>
      <c r="C34" s="24" t="n">
        <v>0.236111111111111</v>
      </c>
      <c r="D34" s="24" t="n">
        <v>0.805555555555556</v>
      </c>
      <c r="E34" s="20" t="s">
        <v>1070</v>
      </c>
      <c r="F34" s="24" t="n">
        <v>0.284722222222222</v>
      </c>
      <c r="G34" s="24" t="n">
        <v>0.854166666666667</v>
      </c>
      <c r="H34" s="24" t="n">
        <f aca="false">MIN(C34,F34)</f>
        <v>0.236111111111111</v>
      </c>
      <c r="I34" s="24" t="n">
        <f aca="false">MAX(D34,G34)</f>
        <v>0.854166666666667</v>
      </c>
      <c r="J34" s="25" t="n">
        <f aca="false">IF(I34&lt;H34,(I34+1-H34)*24,(I34-H34)*24)</f>
        <v>14.8333333333333</v>
      </c>
      <c r="K34" s="20" t="s">
        <v>1028</v>
      </c>
      <c r="L34" s="26" t="n">
        <f aca="false">IF(AND(H34&lt;$C$2,IF(I34&lt;H34,I34+1,I34)&gt;$B$2),1,0)</f>
        <v>1</v>
      </c>
      <c r="M34" s="26" t="n">
        <f aca="false">IF(AND(H34&lt;$C$3,IF(I34&lt;H34,I34+1,I34)&gt;$B$3),1,0)</f>
        <v>1</v>
      </c>
      <c r="N34" s="26" t="n">
        <f aca="false">IF(AND(H34&lt;$C$4,IF(I34&lt;H34,I34+1,I34)&gt;$B$4),1,0)</f>
        <v>1</v>
      </c>
      <c r="O34" s="20"/>
    </row>
    <row r="35" customFormat="false" ht="15" hidden="false" customHeight="false" outlineLevel="0" collapsed="false">
      <c r="A35" s="20" t="s">
        <v>599</v>
      </c>
      <c r="B35" s="20" t="s">
        <v>1071</v>
      </c>
      <c r="C35" s="24" t="n">
        <v>0.229166666666667</v>
      </c>
      <c r="D35" s="24" t="n">
        <v>0.819444444444444</v>
      </c>
      <c r="E35" s="20" t="s">
        <v>1072</v>
      </c>
      <c r="F35" s="24" t="n">
        <v>0.270833333333333</v>
      </c>
      <c r="G35" s="24" t="n">
        <v>0.861111111111111</v>
      </c>
      <c r="H35" s="24" t="n">
        <f aca="false">MIN(C35,F35)</f>
        <v>0.229166666666667</v>
      </c>
      <c r="I35" s="24" t="n">
        <f aca="false">MAX(D35,G35)</f>
        <v>0.861111111111111</v>
      </c>
      <c r="J35" s="25" t="n">
        <f aca="false">IF(I35&lt;H35,(I35+1-H35)*24,(I35-H35)*24)</f>
        <v>15.1666666666667</v>
      </c>
      <c r="K35" s="20" t="s">
        <v>1028</v>
      </c>
      <c r="L35" s="26" t="n">
        <f aca="false">IF(AND(H35&lt;$C$2,IF(I35&lt;H35,I35+1,I35)&gt;$B$2),1,0)</f>
        <v>1</v>
      </c>
      <c r="M35" s="26" t="n">
        <f aca="false">IF(AND(H35&lt;$C$3,IF(I35&lt;H35,I35+1,I35)&gt;$B$3),1,0)</f>
        <v>1</v>
      </c>
      <c r="N35" s="26" t="n">
        <f aca="false">IF(AND(H35&lt;$C$4,IF(I35&lt;H35,I35+1,I35)&gt;$B$4),1,0)</f>
        <v>1</v>
      </c>
      <c r="O35" s="20"/>
    </row>
    <row r="36" customFormat="false" ht="15" hidden="false" customHeight="false" outlineLevel="0" collapsed="false">
      <c r="A36" s="20" t="s">
        <v>915</v>
      </c>
      <c r="B36" s="20" t="s">
        <v>1073</v>
      </c>
      <c r="C36" s="24" t="n">
        <v>0.916666666666667</v>
      </c>
      <c r="D36" s="24" t="n">
        <v>0.194444444444444</v>
      </c>
      <c r="E36" s="20"/>
      <c r="F36" s="24"/>
      <c r="G36" s="24"/>
      <c r="H36" s="24" t="n">
        <f aca="false">MIN(C36,F36)</f>
        <v>0.916666666666667</v>
      </c>
      <c r="I36" s="24" t="n">
        <f aca="false">MAX(D36,G36)</f>
        <v>0.194444444444444</v>
      </c>
      <c r="J36" s="25" t="n">
        <f aca="false">IF(I36&lt;H36,(I36+1-H36)*24,(I36-H36)*24)</f>
        <v>6.66666666666667</v>
      </c>
      <c r="K36" s="20" t="s">
        <v>1074</v>
      </c>
      <c r="L36" s="26" t="n">
        <f aca="false">IF(AND(H36&lt;$C$2,IF(I36&lt;H36,I36+1,I36)&gt;$B$2),1,0)</f>
        <v>0</v>
      </c>
      <c r="M36" s="26" t="n">
        <f aca="false">IF(AND(H36&lt;$C$3,IF(I36&lt;H36,I36+1,I36)&gt;$B$3),1,0)</f>
        <v>0</v>
      </c>
      <c r="N36" s="26" t="n">
        <f aca="false">IF(AND(H36&lt;$C$4,IF(I36&lt;H36,I36+1,I36)&gt;$B$4),1,0)</f>
        <v>0</v>
      </c>
      <c r="O36" s="20"/>
    </row>
    <row r="37" customFormat="false" ht="15" hidden="false" customHeight="false" outlineLevel="0" collapsed="false">
      <c r="A37" s="20" t="s">
        <v>917</v>
      </c>
      <c r="B37" s="20" t="s">
        <v>1075</v>
      </c>
      <c r="C37" s="24" t="n">
        <v>0.927083333333333</v>
      </c>
      <c r="D37" s="24" t="n">
        <v>0.222222222222222</v>
      </c>
      <c r="E37" s="20"/>
      <c r="F37" s="24"/>
      <c r="G37" s="24"/>
      <c r="H37" s="24" t="n">
        <f aca="false">MIN(C37,F37)</f>
        <v>0.927083333333333</v>
      </c>
      <c r="I37" s="24" t="n">
        <f aca="false">MAX(D37,G37)</f>
        <v>0.222222222222222</v>
      </c>
      <c r="J37" s="25" t="n">
        <f aca="false">IF(I37&lt;H37,(I37+1-H37)*24,(I37-H37)*24)</f>
        <v>7.08333333333333</v>
      </c>
      <c r="K37" s="20" t="s">
        <v>1074</v>
      </c>
      <c r="L37" s="26" t="n">
        <f aca="false">IF(AND(H37&lt;$C$2,IF(I37&lt;H37,I37+1,I37)&gt;$B$2),1,0)</f>
        <v>0</v>
      </c>
      <c r="M37" s="26" t="n">
        <f aca="false">IF(AND(H37&lt;$C$3,IF(I37&lt;H37,I37+1,I37)&gt;$B$3),1,0)</f>
        <v>0</v>
      </c>
      <c r="N37" s="26" t="n">
        <f aca="false">IF(AND(H37&lt;$C$4,IF(I37&lt;H37,I37+1,I37)&gt;$B$4),1,0)</f>
        <v>0</v>
      </c>
      <c r="O37" s="20"/>
    </row>
    <row r="38" customFormat="false" ht="15" hidden="false" customHeight="false" outlineLevel="0" collapsed="false">
      <c r="A38" s="20" t="s">
        <v>602</v>
      </c>
      <c r="B38" s="20" t="s">
        <v>1076</v>
      </c>
      <c r="C38" s="24" t="n">
        <v>0.25</v>
      </c>
      <c r="D38" s="24" t="n">
        <v>0.809027777777778</v>
      </c>
      <c r="E38" s="20" t="s">
        <v>1077</v>
      </c>
      <c r="F38" s="24" t="n">
        <v>0.25</v>
      </c>
      <c r="G38" s="24" t="n">
        <v>0.784722222222222</v>
      </c>
      <c r="H38" s="24" t="n">
        <f aca="false">MIN(C38,F38)</f>
        <v>0.25</v>
      </c>
      <c r="I38" s="24" t="n">
        <f aca="false">MAX(D38,G38)</f>
        <v>0.809027777777778</v>
      </c>
      <c r="J38" s="25" t="n">
        <f aca="false">IF(I38&lt;H38,(I38+1-H38)*24,(I38-H38)*24)</f>
        <v>13.4166666666667</v>
      </c>
      <c r="K38" s="20" t="s">
        <v>1028</v>
      </c>
      <c r="L38" s="26" t="n">
        <f aca="false">IF(AND(H38&lt;$C$2,IF(I38&lt;H38,I38+1,I38)&gt;$B$2),1,0)</f>
        <v>1</v>
      </c>
      <c r="M38" s="26" t="n">
        <f aca="false">IF(AND(H38&lt;$C$3,IF(I38&lt;H38,I38+1,I38)&gt;$B$3),1,0)</f>
        <v>1</v>
      </c>
      <c r="N38" s="26" t="n">
        <f aca="false">IF(AND(H38&lt;$C$4,IF(I38&lt;H38,I38+1,I38)&gt;$B$4),1,0)</f>
        <v>1</v>
      </c>
      <c r="O38" s="20"/>
    </row>
    <row r="39" customFormat="false" ht="15" hidden="false" customHeight="false" outlineLevel="0" collapsed="false">
      <c r="A39" s="20" t="s">
        <v>609</v>
      </c>
      <c r="B39" s="20" t="s">
        <v>1026</v>
      </c>
      <c r="C39" s="24" t="n">
        <v>0.260416666666667</v>
      </c>
      <c r="D39" s="24" t="n">
        <v>0.770833333333333</v>
      </c>
      <c r="E39" s="20" t="s">
        <v>1027</v>
      </c>
      <c r="F39" s="24" t="n">
        <v>0.322916666666667</v>
      </c>
      <c r="G39" s="24" t="n">
        <v>0.833333333333333</v>
      </c>
      <c r="H39" s="24" t="n">
        <f aca="false">MIN(C39,F39)</f>
        <v>0.260416666666667</v>
      </c>
      <c r="I39" s="24" t="n">
        <f aca="false">MAX(D39,G39)</f>
        <v>0.833333333333333</v>
      </c>
      <c r="J39" s="25" t="n">
        <f aca="false">IF(I39&lt;H39,(I39+1-H39)*24,(I39-H39)*24)</f>
        <v>13.75</v>
      </c>
      <c r="K39" s="20" t="s">
        <v>1028</v>
      </c>
      <c r="L39" s="26" t="n">
        <f aca="false">IF(AND(H39&lt;$C$2,IF(I39&lt;H39,I39+1,I39)&gt;$B$2),1,0)</f>
        <v>1</v>
      </c>
      <c r="M39" s="26" t="n">
        <f aca="false">IF(AND(H39&lt;$C$3,IF(I39&lt;H39,I39+1,I39)&gt;$B$3),1,0)</f>
        <v>1</v>
      </c>
      <c r="N39" s="26" t="n">
        <f aca="false">IF(AND(H39&lt;$C$4,IF(I39&lt;H39,I39+1,I39)&gt;$B$4),1,0)</f>
        <v>1</v>
      </c>
      <c r="O39" s="20"/>
    </row>
    <row r="40" customFormat="false" ht="15" hidden="false" customHeight="false" outlineLevel="0" collapsed="false">
      <c r="A40" s="20" t="s">
        <v>615</v>
      </c>
      <c r="B40" s="20" t="s">
        <v>1078</v>
      </c>
      <c r="C40" s="24" t="n">
        <v>0.274305555555556</v>
      </c>
      <c r="D40" s="24" t="n">
        <v>0.829861111111111</v>
      </c>
      <c r="E40" s="20" t="s">
        <v>1079</v>
      </c>
      <c r="F40" s="24" t="n">
        <v>0.253472222222222</v>
      </c>
      <c r="G40" s="24" t="n">
        <v>0.829861111111111</v>
      </c>
      <c r="H40" s="24" t="n">
        <f aca="false">MIN(C40,F40)</f>
        <v>0.253472222222222</v>
      </c>
      <c r="I40" s="24" t="n">
        <f aca="false">MAX(D40,G40)</f>
        <v>0.829861111111111</v>
      </c>
      <c r="J40" s="25" t="n">
        <f aca="false">IF(I40&lt;H40,(I40+1-H40)*24,(I40-H40)*24)</f>
        <v>13.8333333333333</v>
      </c>
      <c r="K40" s="20" t="s">
        <v>1028</v>
      </c>
      <c r="L40" s="26" t="n">
        <f aca="false">IF(AND(H40&lt;$C$2,IF(I40&lt;H40,I40+1,I40)&gt;$B$2),1,0)</f>
        <v>1</v>
      </c>
      <c r="M40" s="26" t="n">
        <f aca="false">IF(AND(H40&lt;$C$3,IF(I40&lt;H40,I40+1,I40)&gt;$B$3),1,0)</f>
        <v>1</v>
      </c>
      <c r="N40" s="26" t="n">
        <f aca="false">IF(AND(H40&lt;$C$4,IF(I40&lt;H40,I40+1,I40)&gt;$B$4),1,0)</f>
        <v>1</v>
      </c>
      <c r="O40" s="20"/>
    </row>
    <row r="41" customFormat="false" ht="15" hidden="false" customHeight="false" outlineLevel="0" collapsed="false">
      <c r="A41" s="20" t="s">
        <v>617</v>
      </c>
      <c r="B41" s="20" t="s">
        <v>1080</v>
      </c>
      <c r="C41" s="24" t="n">
        <v>0.215277777777778</v>
      </c>
      <c r="D41" s="24" t="n">
        <v>0.822916666666667</v>
      </c>
      <c r="E41" s="20" t="s">
        <v>1081</v>
      </c>
      <c r="F41" s="24" t="n">
        <v>0.267361111111111</v>
      </c>
      <c r="G41" s="24" t="n">
        <v>0.875</v>
      </c>
      <c r="H41" s="24" t="n">
        <f aca="false">MIN(C41,F41)</f>
        <v>0.215277777777778</v>
      </c>
      <c r="I41" s="24" t="n">
        <f aca="false">MAX(D41,G41)</f>
        <v>0.875</v>
      </c>
      <c r="J41" s="25" t="n">
        <f aca="false">IF(I41&lt;H41,(I41+1-H41)*24,(I41-H41)*24)</f>
        <v>15.8333333333333</v>
      </c>
      <c r="K41" s="20" t="s">
        <v>1028</v>
      </c>
      <c r="L41" s="26" t="n">
        <f aca="false">IF(AND(H41&lt;$C$2,IF(I41&lt;H41,I41+1,I41)&gt;$B$2),1,0)</f>
        <v>1</v>
      </c>
      <c r="M41" s="26" t="n">
        <f aca="false">IF(AND(H41&lt;$C$3,IF(I41&lt;H41,I41+1,I41)&gt;$B$3),1,0)</f>
        <v>1</v>
      </c>
      <c r="N41" s="26" t="n">
        <f aca="false">IF(AND(H41&lt;$C$4,IF(I41&lt;H41,I41+1,I41)&gt;$B$4),1,0)</f>
        <v>1</v>
      </c>
      <c r="O41" s="20"/>
    </row>
    <row r="42" customFormat="false" ht="15" hidden="false" customHeight="false" outlineLevel="0" collapsed="false">
      <c r="A42" s="20" t="s">
        <v>624</v>
      </c>
      <c r="B42" s="20" t="s">
        <v>1082</v>
      </c>
      <c r="C42" s="24" t="n">
        <v>0.270833333333333</v>
      </c>
      <c r="D42" s="24" t="n">
        <v>0.791666666666667</v>
      </c>
      <c r="E42" s="20" t="s">
        <v>1083</v>
      </c>
      <c r="F42" s="24" t="n">
        <v>0.305555555555556</v>
      </c>
      <c r="G42" s="24" t="n">
        <v>0.791666666666667</v>
      </c>
      <c r="H42" s="24" t="n">
        <f aca="false">MIN(C42,F42)</f>
        <v>0.270833333333333</v>
      </c>
      <c r="I42" s="24" t="n">
        <f aca="false">MAX(D42,G42)</f>
        <v>0.791666666666667</v>
      </c>
      <c r="J42" s="25" t="n">
        <f aca="false">IF(I42&lt;H42,(I42+1-H42)*24,(I42-H42)*24)</f>
        <v>12.5</v>
      </c>
      <c r="K42" s="20" t="s">
        <v>1028</v>
      </c>
      <c r="L42" s="26" t="n">
        <f aca="false">IF(AND(H42&lt;$C$2,IF(I42&lt;H42,I42+1,I42)&gt;$B$2),1,0)</f>
        <v>1</v>
      </c>
      <c r="M42" s="26" t="n">
        <f aca="false">IF(AND(H42&lt;$C$3,IF(I42&lt;H42,I42+1,I42)&gt;$B$3),1,0)</f>
        <v>1</v>
      </c>
      <c r="N42" s="26" t="n">
        <f aca="false">IF(AND(H42&lt;$C$4,IF(I42&lt;H42,I42+1,I42)&gt;$B$4),1,0)</f>
        <v>1</v>
      </c>
      <c r="O42" s="20"/>
    </row>
    <row r="43" customFormat="false" ht="15" hidden="false" customHeight="false" outlineLevel="0" collapsed="false">
      <c r="A43" s="20" t="s">
        <v>628</v>
      </c>
      <c r="B43" s="20" t="s">
        <v>1084</v>
      </c>
      <c r="C43" s="24" t="n">
        <v>0.208333333333333</v>
      </c>
      <c r="D43" s="24" t="n">
        <v>0.791666666666667</v>
      </c>
      <c r="E43" s="20" t="s">
        <v>1085</v>
      </c>
      <c r="F43" s="24" t="n">
        <v>0.28125</v>
      </c>
      <c r="G43" s="24" t="n">
        <v>0.871527777777778</v>
      </c>
      <c r="H43" s="24" t="n">
        <f aca="false">MIN(C43,F43)</f>
        <v>0.208333333333333</v>
      </c>
      <c r="I43" s="24" t="n">
        <f aca="false">MAX(D43,G43)</f>
        <v>0.871527777777778</v>
      </c>
      <c r="J43" s="25" t="n">
        <f aca="false">IF(I43&lt;H43,(I43+1-H43)*24,(I43-H43)*24)</f>
        <v>15.9166666666667</v>
      </c>
      <c r="K43" s="20" t="s">
        <v>1028</v>
      </c>
      <c r="L43" s="26" t="n">
        <f aca="false">IF(AND(H43&lt;$C$2,IF(I43&lt;H43,I43+1,I43)&gt;$B$2),1,0)</f>
        <v>1</v>
      </c>
      <c r="M43" s="26" t="n">
        <f aca="false">IF(AND(H43&lt;$C$3,IF(I43&lt;H43,I43+1,I43)&gt;$B$3),1,0)</f>
        <v>1</v>
      </c>
      <c r="N43" s="26" t="n">
        <f aca="false">IF(AND(H43&lt;$C$4,IF(I43&lt;H43,I43+1,I43)&gt;$B$4),1,0)</f>
        <v>1</v>
      </c>
      <c r="O43" s="20"/>
    </row>
    <row r="44" customFormat="false" ht="15" hidden="false" customHeight="false" outlineLevel="0" collapsed="false">
      <c r="A44" s="20" t="s">
        <v>635</v>
      </c>
      <c r="B44" s="20" t="s">
        <v>1086</v>
      </c>
      <c r="C44" s="24" t="n">
        <v>0.253472222222222</v>
      </c>
      <c r="D44" s="24" t="n">
        <v>0.822916666666667</v>
      </c>
      <c r="E44" s="20" t="s">
        <v>1087</v>
      </c>
      <c r="F44" s="24" t="n">
        <v>0.267361111111111</v>
      </c>
      <c r="G44" s="24" t="n">
        <v>0.795138888888889</v>
      </c>
      <c r="H44" s="24" t="n">
        <f aca="false">MIN(C44,F44)</f>
        <v>0.253472222222222</v>
      </c>
      <c r="I44" s="24" t="n">
        <f aca="false">MAX(D44,G44)</f>
        <v>0.822916666666667</v>
      </c>
      <c r="J44" s="25" t="n">
        <f aca="false">IF(I44&lt;H44,(I44+1-H44)*24,(I44-H44)*24)</f>
        <v>13.6666666666667</v>
      </c>
      <c r="K44" s="20" t="s">
        <v>1028</v>
      </c>
      <c r="L44" s="26" t="n">
        <f aca="false">IF(AND(H44&lt;$C$2,IF(I44&lt;H44,I44+1,I44)&gt;$B$2),1,0)</f>
        <v>1</v>
      </c>
      <c r="M44" s="26" t="n">
        <f aca="false">IF(AND(H44&lt;$C$3,IF(I44&lt;H44,I44+1,I44)&gt;$B$3),1,0)</f>
        <v>1</v>
      </c>
      <c r="N44" s="26" t="n">
        <f aca="false">IF(AND(H44&lt;$C$4,IF(I44&lt;H44,I44+1,I44)&gt;$B$4),1,0)</f>
        <v>1</v>
      </c>
      <c r="O44" s="20"/>
    </row>
    <row r="45" customFormat="false" ht="15" hidden="false" customHeight="false" outlineLevel="0" collapsed="false">
      <c r="A45" s="20" t="s">
        <v>927</v>
      </c>
      <c r="B45" s="20" t="s">
        <v>1084</v>
      </c>
      <c r="C45" s="24" t="n">
        <v>0.267361111111111</v>
      </c>
      <c r="D45" s="24" t="n">
        <v>0.809027777777778</v>
      </c>
      <c r="E45" s="20" t="s">
        <v>1085</v>
      </c>
      <c r="F45" s="24" t="n">
        <v>0.260416666666667</v>
      </c>
      <c r="G45" s="24" t="n">
        <v>0.788194444444444</v>
      </c>
      <c r="H45" s="24" t="n">
        <f aca="false">MIN(C45,F45)</f>
        <v>0.260416666666667</v>
      </c>
      <c r="I45" s="24" t="n">
        <f aca="false">MAX(D45,G45)</f>
        <v>0.809027777777778</v>
      </c>
      <c r="J45" s="25" t="n">
        <f aca="false">IF(I45&lt;H45,(I45+1-H45)*24,(I45-H45)*24)</f>
        <v>13.1666666666667</v>
      </c>
      <c r="K45" s="20" t="s">
        <v>1028</v>
      </c>
      <c r="L45" s="26" t="n">
        <f aca="false">IF(AND(H45&lt;$C$2,IF(I45&lt;H45,I45+1,I45)&gt;$B$2),1,0)</f>
        <v>1</v>
      </c>
      <c r="M45" s="26" t="n">
        <f aca="false">IF(AND(H45&lt;$C$3,IF(I45&lt;H45,I45+1,I45)&gt;$B$3),1,0)</f>
        <v>1</v>
      </c>
      <c r="N45" s="26" t="n">
        <f aca="false">IF(AND(H45&lt;$C$4,IF(I45&lt;H45,I45+1,I45)&gt;$B$4),1,0)</f>
        <v>1</v>
      </c>
      <c r="O45" s="20"/>
    </row>
    <row r="46" customFormat="false" ht="15" hidden="false" customHeight="false" outlineLevel="0" collapsed="false">
      <c r="A46" s="20" t="s">
        <v>647</v>
      </c>
      <c r="B46" s="20" t="s">
        <v>1088</v>
      </c>
      <c r="C46" s="24" t="n">
        <v>0.236111111111111</v>
      </c>
      <c r="D46" s="24" t="n">
        <v>0.791666666666667</v>
      </c>
      <c r="E46" s="20" t="s">
        <v>1089</v>
      </c>
      <c r="F46" s="24" t="n">
        <v>0.284722222222222</v>
      </c>
      <c r="G46" s="24" t="n">
        <v>0.840277777777778</v>
      </c>
      <c r="H46" s="24" t="n">
        <f aca="false">MIN(C46,F46)</f>
        <v>0.236111111111111</v>
      </c>
      <c r="I46" s="24" t="n">
        <f aca="false">MAX(D46,G46)</f>
        <v>0.840277777777778</v>
      </c>
      <c r="J46" s="25" t="n">
        <f aca="false">IF(I46&lt;H46,(I46+1-H46)*24,(I46-H46)*24)</f>
        <v>14.5</v>
      </c>
      <c r="K46" s="20" t="s">
        <v>1028</v>
      </c>
      <c r="L46" s="26" t="n">
        <f aca="false">IF(AND(H46&lt;$C$2,IF(I46&lt;H46,I46+1,I46)&gt;$B$2),1,0)</f>
        <v>1</v>
      </c>
      <c r="M46" s="26" t="n">
        <f aca="false">IF(AND(H46&lt;$C$3,IF(I46&lt;H46,I46+1,I46)&gt;$B$3),1,0)</f>
        <v>1</v>
      </c>
      <c r="N46" s="26" t="n">
        <f aca="false">IF(AND(H46&lt;$C$4,IF(I46&lt;H46,I46+1,I46)&gt;$B$4),1,0)</f>
        <v>1</v>
      </c>
      <c r="O46" s="20"/>
    </row>
    <row r="47" customFormat="false" ht="15" hidden="false" customHeight="false" outlineLevel="0" collapsed="false">
      <c r="A47" s="20" t="s">
        <v>650</v>
      </c>
      <c r="B47" s="20" t="s">
        <v>1090</v>
      </c>
      <c r="C47" s="24" t="n">
        <v>0.25</v>
      </c>
      <c r="D47" s="24" t="n">
        <v>0.805555555555556</v>
      </c>
      <c r="E47" s="20" t="s">
        <v>1091</v>
      </c>
      <c r="F47" s="24" t="n">
        <v>0.305555555555556</v>
      </c>
      <c r="G47" s="24" t="n">
        <v>0.861111111111111</v>
      </c>
      <c r="H47" s="24" t="n">
        <f aca="false">MIN(C47,F47)</f>
        <v>0.25</v>
      </c>
      <c r="I47" s="24" t="n">
        <f aca="false">MAX(D47,G47)</f>
        <v>0.861111111111111</v>
      </c>
      <c r="J47" s="25" t="n">
        <f aca="false">IF(I47&lt;H47,(I47+1-H47)*24,(I47-H47)*24)</f>
        <v>14.6666666666667</v>
      </c>
      <c r="K47" s="20" t="s">
        <v>1028</v>
      </c>
      <c r="L47" s="26" t="n">
        <f aca="false">IF(AND(H47&lt;$C$2,IF(I47&lt;H47,I47+1,I47)&gt;$B$2),1,0)</f>
        <v>1</v>
      </c>
      <c r="M47" s="26" t="n">
        <f aca="false">IF(AND(H47&lt;$C$3,IF(I47&lt;H47,I47+1,I47)&gt;$B$3),1,0)</f>
        <v>1</v>
      </c>
      <c r="N47" s="26" t="n">
        <f aca="false">IF(AND(H47&lt;$C$4,IF(I47&lt;H47,I47+1,I47)&gt;$B$4),1,0)</f>
        <v>1</v>
      </c>
      <c r="O47" s="20"/>
    </row>
    <row r="48" customFormat="false" ht="15" hidden="false" customHeight="false" outlineLevel="0" collapsed="false">
      <c r="A48" s="20" t="s">
        <v>656</v>
      </c>
      <c r="B48" s="20" t="s">
        <v>1088</v>
      </c>
      <c r="C48" s="24" t="n">
        <v>0.243055555555556</v>
      </c>
      <c r="D48" s="24" t="n">
        <v>0.895833333333333</v>
      </c>
      <c r="E48" s="20" t="s">
        <v>1089</v>
      </c>
      <c r="F48" s="24" t="n">
        <v>0.277777777777778</v>
      </c>
      <c r="G48" s="24" t="n">
        <v>0.888888888888889</v>
      </c>
      <c r="H48" s="24" t="n">
        <f aca="false">MIN(C48,F48)</f>
        <v>0.243055555555556</v>
      </c>
      <c r="I48" s="24" t="n">
        <f aca="false">MAX(D48,G48)</f>
        <v>0.895833333333333</v>
      </c>
      <c r="J48" s="25" t="n">
        <f aca="false">IF(I48&lt;H48,(I48+1-H48)*24,(I48-H48)*24)</f>
        <v>15.6666666666667</v>
      </c>
      <c r="K48" s="20" t="s">
        <v>1028</v>
      </c>
      <c r="L48" s="26" t="n">
        <f aca="false">IF(AND(H48&lt;$C$2,IF(I48&lt;H48,I48+1,I48)&gt;$B$2),1,0)</f>
        <v>1</v>
      </c>
      <c r="M48" s="26" t="n">
        <f aca="false">IF(AND(H48&lt;$C$3,IF(I48&lt;H48,I48+1,I48)&gt;$B$3),1,0)</f>
        <v>1</v>
      </c>
      <c r="N48" s="26" t="n">
        <f aca="false">IF(AND(H48&lt;$C$4,IF(I48&lt;H48,I48+1,I48)&gt;$B$4),1,0)</f>
        <v>1</v>
      </c>
      <c r="O48" s="20"/>
    </row>
    <row r="49" customFormat="false" ht="15" hidden="false" customHeight="false" outlineLevel="0" collapsed="false">
      <c r="A49" s="20" t="s">
        <v>659</v>
      </c>
      <c r="B49" s="20" t="s">
        <v>1057</v>
      </c>
      <c r="C49" s="24" t="n">
        <v>0.881944444444444</v>
      </c>
      <c r="D49" s="24" t="n">
        <v>0.159722222222222</v>
      </c>
      <c r="E49" s="20"/>
      <c r="F49" s="24"/>
      <c r="G49" s="24"/>
      <c r="H49" s="24" t="n">
        <f aca="false">MIN(C49,F49)</f>
        <v>0.881944444444444</v>
      </c>
      <c r="I49" s="24" t="n">
        <f aca="false">MAX(D49,G49)</f>
        <v>0.159722222222222</v>
      </c>
      <c r="J49" s="25" t="n">
        <f aca="false">IF(I49&lt;H49,(I49+1-H49)*24,(I49-H49)*24)</f>
        <v>6.66666666666667</v>
      </c>
      <c r="K49" s="20" t="s">
        <v>1074</v>
      </c>
      <c r="L49" s="26" t="n">
        <f aca="false">IF(AND(H49&lt;$C$2,IF(I49&lt;H49,I49+1,I49)&gt;$B$2),1,0)</f>
        <v>0</v>
      </c>
      <c r="M49" s="26" t="n">
        <f aca="false">IF(AND(H49&lt;$C$3,IF(I49&lt;H49,I49+1,I49)&gt;$B$3),1,0)</f>
        <v>0</v>
      </c>
      <c r="N49" s="26" t="n">
        <f aca="false">IF(AND(H49&lt;$C$4,IF(I49&lt;H49,I49+1,I49)&gt;$B$4),1,0)</f>
        <v>0</v>
      </c>
      <c r="O49" s="20"/>
    </row>
    <row r="50" customFormat="false" ht="15" hidden="false" customHeight="false" outlineLevel="0" collapsed="false">
      <c r="A50" s="20" t="s">
        <v>665</v>
      </c>
      <c r="B50" s="20" t="s">
        <v>1092</v>
      </c>
      <c r="C50" s="24" t="n">
        <v>0.222222222222222</v>
      </c>
      <c r="D50" s="24" t="n">
        <v>0.743055555555556</v>
      </c>
      <c r="E50" s="20" t="s">
        <v>1093</v>
      </c>
      <c r="F50" s="24" t="n">
        <v>0.295138888888889</v>
      </c>
      <c r="G50" s="24" t="n">
        <v>0.815972222222222</v>
      </c>
      <c r="H50" s="24" t="n">
        <f aca="false">MIN(C50,F50)</f>
        <v>0.222222222222222</v>
      </c>
      <c r="I50" s="24" t="n">
        <f aca="false">MAX(D50,G50)</f>
        <v>0.815972222222222</v>
      </c>
      <c r="J50" s="25" t="n">
        <f aca="false">IF(I50&lt;H50,(I50+1-H50)*24,(I50-H50)*24)</f>
        <v>14.25</v>
      </c>
      <c r="K50" s="20" t="s">
        <v>1028</v>
      </c>
      <c r="L50" s="26" t="n">
        <f aca="false">IF(AND(H50&lt;$C$2,IF(I50&lt;H50,I50+1,I50)&gt;$B$2),1,0)</f>
        <v>1</v>
      </c>
      <c r="M50" s="26" t="n">
        <f aca="false">IF(AND(H50&lt;$C$3,IF(I50&lt;H50,I50+1,I50)&gt;$B$3),1,0)</f>
        <v>1</v>
      </c>
      <c r="N50" s="26" t="n">
        <f aca="false">IF(AND(H50&lt;$C$4,IF(I50&lt;H50,I50+1,I50)&gt;$B$4),1,0)</f>
        <v>1</v>
      </c>
      <c r="O50" s="20"/>
    </row>
    <row r="51" customFormat="false" ht="15" hidden="false" customHeight="false" outlineLevel="0" collapsed="false">
      <c r="A51" s="20" t="s">
        <v>693</v>
      </c>
      <c r="B51" s="20" t="s">
        <v>1094</v>
      </c>
      <c r="C51" s="24" t="n">
        <v>0.336805555555556</v>
      </c>
      <c r="D51" s="24" t="n">
        <v>0.809027777777778</v>
      </c>
      <c r="E51" s="20" t="s">
        <v>1095</v>
      </c>
      <c r="F51" s="24" t="n">
        <v>0.274305555555556</v>
      </c>
      <c r="G51" s="24" t="n">
        <v>0.871527777777778</v>
      </c>
      <c r="H51" s="24" t="n">
        <f aca="false">MIN(C51,F51)</f>
        <v>0.274305555555556</v>
      </c>
      <c r="I51" s="24" t="n">
        <f aca="false">MAX(D51,G51)</f>
        <v>0.871527777777778</v>
      </c>
      <c r="J51" s="25" t="n">
        <f aca="false">IF(I51&lt;H51,(I51+1-H51)*24,(I51-H51)*24)</f>
        <v>14.3333333333333</v>
      </c>
      <c r="K51" s="20" t="s">
        <v>1028</v>
      </c>
      <c r="L51" s="26" t="n">
        <f aca="false">IF(AND(H51&lt;$C$2,IF(I51&lt;H51,I51+1,I51)&gt;$B$2),1,0)</f>
        <v>1</v>
      </c>
      <c r="M51" s="26" t="n">
        <f aca="false">IF(AND(H51&lt;$C$3,IF(I51&lt;H51,I51+1,I51)&gt;$B$3),1,0)</f>
        <v>1</v>
      </c>
      <c r="N51" s="26" t="n">
        <f aca="false">IF(AND(H51&lt;$C$4,IF(I51&lt;H51,I51+1,I51)&gt;$B$4),1,0)</f>
        <v>1</v>
      </c>
      <c r="O51" s="20"/>
    </row>
    <row r="52" customFormat="false" ht="15" hidden="false" customHeight="false" outlineLevel="0" collapsed="false">
      <c r="A52" s="20" t="s">
        <v>428</v>
      </c>
      <c r="B52" s="20" t="s">
        <v>1096</v>
      </c>
      <c r="C52" s="24" t="n">
        <v>0.208333333333333</v>
      </c>
      <c r="D52" s="24" t="n">
        <v>0.78125</v>
      </c>
      <c r="E52" s="20" t="s">
        <v>1097</v>
      </c>
      <c r="F52" s="24" t="n">
        <v>0.263888888888889</v>
      </c>
      <c r="G52" s="24" t="n">
        <v>0.84375</v>
      </c>
      <c r="H52" s="24" t="n">
        <f aca="false">MIN(C52,F52)</f>
        <v>0.208333333333333</v>
      </c>
      <c r="I52" s="24" t="n">
        <f aca="false">MAX(D52,G52)</f>
        <v>0.84375</v>
      </c>
      <c r="J52" s="25" t="n">
        <f aca="false">IF(I52&lt;H52,(I52+1-H52)*24,(I52-H52)*24)</f>
        <v>15.25</v>
      </c>
      <c r="K52" s="20" t="s">
        <v>1028</v>
      </c>
      <c r="L52" s="26" t="n">
        <f aca="false">IF(AND(H52&lt;$C$2,IF(I52&lt;H52,I52+1,I52)&gt;$B$2),1,0)</f>
        <v>1</v>
      </c>
      <c r="M52" s="26" t="n">
        <f aca="false">IF(AND(H52&lt;$C$3,IF(I52&lt;H52,I52+1,I52)&gt;$B$3),1,0)</f>
        <v>1</v>
      </c>
      <c r="N52" s="26" t="n">
        <f aca="false">IF(AND(H52&lt;$C$4,IF(I52&lt;H52,I52+1,I52)&gt;$B$4),1,0)</f>
        <v>1</v>
      </c>
      <c r="O52" s="20"/>
    </row>
    <row r="53" customFormat="false" ht="15" hidden="false" customHeight="false" outlineLevel="0" collapsed="false">
      <c r="A53" s="20" t="s">
        <v>712</v>
      </c>
      <c r="B53" s="20" t="s">
        <v>1098</v>
      </c>
      <c r="C53" s="24" t="n">
        <v>0.3125</v>
      </c>
      <c r="D53" s="24" t="n">
        <v>0.8125</v>
      </c>
      <c r="E53" s="20" t="s">
        <v>1099</v>
      </c>
      <c r="F53" s="24" t="n">
        <v>0.3125</v>
      </c>
      <c r="G53" s="24" t="n">
        <v>0.8125</v>
      </c>
      <c r="H53" s="24" t="n">
        <f aca="false">MIN(C53,F53)</f>
        <v>0.3125</v>
      </c>
      <c r="I53" s="24" t="n">
        <f aca="false">MAX(D53,G53)</f>
        <v>0.8125</v>
      </c>
      <c r="J53" s="25" t="n">
        <f aca="false">IF(I53&lt;H53,(I53+1-H53)*24,(I53-H53)*24)</f>
        <v>12</v>
      </c>
      <c r="K53" s="20" t="s">
        <v>1028</v>
      </c>
      <c r="L53" s="26" t="n">
        <f aca="false">IF(AND(H53&lt;$C$2,IF(I53&lt;H53,I53+1,I53)&gt;$B$2),1,0)</f>
        <v>1</v>
      </c>
      <c r="M53" s="26" t="n">
        <f aca="false">IF(AND(H53&lt;$C$3,IF(I53&lt;H53,I53+1,I53)&gt;$B$3),1,0)</f>
        <v>1</v>
      </c>
      <c r="N53" s="26" t="n">
        <f aca="false">IF(AND(H53&lt;$C$4,IF(I53&lt;H53,I53+1,I53)&gt;$B$4),1,0)</f>
        <v>1</v>
      </c>
      <c r="O53" s="20" t="s">
        <v>1055</v>
      </c>
    </row>
    <row r="54" customFormat="false" ht="15" hidden="false" customHeight="false" outlineLevel="0" collapsed="false">
      <c r="A54" s="20" t="s">
        <v>720</v>
      </c>
      <c r="B54" s="20" t="s">
        <v>1100</v>
      </c>
      <c r="C54" s="24" t="n">
        <v>0.322916666666667</v>
      </c>
      <c r="D54" s="24" t="n">
        <v>0.760416666666667</v>
      </c>
      <c r="E54" s="20" t="s">
        <v>1101</v>
      </c>
      <c r="F54" s="24" t="n">
        <v>0.291666666666667</v>
      </c>
      <c r="G54" s="24" t="n">
        <v>0.760416666666667</v>
      </c>
      <c r="H54" s="24" t="n">
        <f aca="false">MIN(C54,F54)</f>
        <v>0.291666666666667</v>
      </c>
      <c r="I54" s="24" t="n">
        <f aca="false">MAX(D54,G54)</f>
        <v>0.760416666666667</v>
      </c>
      <c r="J54" s="25" t="n">
        <f aca="false">IF(I54&lt;H54,(I54+1-H54)*24,(I54-H54)*24)</f>
        <v>11.25</v>
      </c>
      <c r="K54" s="20" t="s">
        <v>1028</v>
      </c>
      <c r="L54" s="26" t="n">
        <f aca="false">IF(AND(H54&lt;$C$2,IF(I54&lt;H54,I54+1,I54)&gt;$B$2),1,0)</f>
        <v>1</v>
      </c>
      <c r="M54" s="26" t="n">
        <f aca="false">IF(AND(H54&lt;$C$3,IF(I54&lt;H54,I54+1,I54)&gt;$B$3),1,0)</f>
        <v>1</v>
      </c>
      <c r="N54" s="26" t="n">
        <f aca="false">IF(AND(H54&lt;$C$4,IF(I54&lt;H54,I54+1,I54)&gt;$B$4),1,0)</f>
        <v>1</v>
      </c>
      <c r="O54" s="20"/>
    </row>
    <row r="55" customFormat="false" ht="15" hidden="false" customHeight="false" outlineLevel="0" collapsed="false">
      <c r="A55" s="20" t="s">
        <v>725</v>
      </c>
      <c r="B55" s="20" t="s">
        <v>1102</v>
      </c>
      <c r="C55" s="24" t="n">
        <v>0.28125</v>
      </c>
      <c r="D55" s="24" t="n">
        <v>0.84375</v>
      </c>
      <c r="E55" s="20" t="s">
        <v>1103</v>
      </c>
      <c r="F55" s="24" t="n">
        <v>0.270833333333333</v>
      </c>
      <c r="G55" s="24" t="n">
        <v>0.833333333333333</v>
      </c>
      <c r="H55" s="24" t="n">
        <f aca="false">MIN(C55,F55)</f>
        <v>0.270833333333333</v>
      </c>
      <c r="I55" s="24" t="n">
        <f aca="false">MAX(D55,G55)</f>
        <v>0.84375</v>
      </c>
      <c r="J55" s="25" t="n">
        <f aca="false">IF(I55&lt;H55,(I55+1-H55)*24,(I55-H55)*24)</f>
        <v>13.75</v>
      </c>
      <c r="K55" s="20" t="s">
        <v>1028</v>
      </c>
      <c r="L55" s="26" t="n">
        <f aca="false">IF(AND(H55&lt;$C$2,IF(I55&lt;H55,I55+1,I55)&gt;$B$2),1,0)</f>
        <v>1</v>
      </c>
      <c r="M55" s="26" t="n">
        <f aca="false">IF(AND(H55&lt;$C$3,IF(I55&lt;H55,I55+1,I55)&gt;$B$3),1,0)</f>
        <v>1</v>
      </c>
      <c r="N55" s="26" t="n">
        <f aca="false">IF(AND(H55&lt;$C$4,IF(I55&lt;H55,I55+1,I55)&gt;$B$4),1,0)</f>
        <v>1</v>
      </c>
      <c r="O55" s="20"/>
    </row>
    <row r="56" customFormat="false" ht="15" hidden="false" customHeight="false" outlineLevel="0" collapsed="false">
      <c r="A56" s="20" t="s">
        <v>729</v>
      </c>
      <c r="B56" s="20" t="s">
        <v>1104</v>
      </c>
      <c r="C56" s="24" t="n">
        <v>0.270833333333333</v>
      </c>
      <c r="D56" s="24" t="n">
        <v>0.791666666666667</v>
      </c>
      <c r="E56" s="20" t="s">
        <v>1105</v>
      </c>
      <c r="F56" s="24" t="n">
        <v>0.260416666666667</v>
      </c>
      <c r="G56" s="24" t="n">
        <v>0.822916666666667</v>
      </c>
      <c r="H56" s="24" t="n">
        <f aca="false">MIN(C56,F56)</f>
        <v>0.260416666666667</v>
      </c>
      <c r="I56" s="24" t="n">
        <f aca="false">MAX(D56,G56)</f>
        <v>0.822916666666667</v>
      </c>
      <c r="J56" s="25" t="n">
        <f aca="false">IF(I56&lt;H56,(I56+1-H56)*24,(I56-H56)*24)</f>
        <v>13.5</v>
      </c>
      <c r="K56" s="20" t="s">
        <v>1028</v>
      </c>
      <c r="L56" s="26" t="n">
        <f aca="false">IF(AND(H56&lt;$C$2,IF(I56&lt;H56,I56+1,I56)&gt;$B$2),1,0)</f>
        <v>1</v>
      </c>
      <c r="M56" s="26" t="n">
        <f aca="false">IF(AND(H56&lt;$C$3,IF(I56&lt;H56,I56+1,I56)&gt;$B$3),1,0)</f>
        <v>1</v>
      </c>
      <c r="N56" s="26" t="n">
        <f aca="false">IF(AND(H56&lt;$C$4,IF(I56&lt;H56,I56+1,I56)&gt;$B$4),1,0)</f>
        <v>1</v>
      </c>
      <c r="O56" s="20"/>
    </row>
    <row r="57" customFormat="false" ht="15" hidden="false" customHeight="false" outlineLevel="0" collapsed="false">
      <c r="A57" s="20" t="s">
        <v>731</v>
      </c>
      <c r="B57" s="20" t="s">
        <v>1106</v>
      </c>
      <c r="C57" s="24" t="n">
        <v>0.305555555555556</v>
      </c>
      <c r="D57" s="24" t="n">
        <v>0.736111111111111</v>
      </c>
      <c r="E57" s="20"/>
      <c r="F57" s="24"/>
      <c r="G57" s="24"/>
      <c r="H57" s="24" t="n">
        <f aca="false">MIN(C57,F57)</f>
        <v>0.305555555555556</v>
      </c>
      <c r="I57" s="24" t="n">
        <f aca="false">MAX(D57,G57)</f>
        <v>0.736111111111111</v>
      </c>
      <c r="J57" s="25" t="n">
        <f aca="false">IF(I57&lt;H57,(I57+1-H57)*24,(I57-H57)*24)</f>
        <v>10.3333333333333</v>
      </c>
      <c r="K57" s="20" t="s">
        <v>1028</v>
      </c>
      <c r="L57" s="26" t="n">
        <f aca="false">IF(AND(H57&lt;$C$2,IF(I57&lt;H57,I57+1,I57)&gt;$B$2),1,0)</f>
        <v>1</v>
      </c>
      <c r="M57" s="26" t="n">
        <f aca="false">IF(AND(H57&lt;$C$3,IF(I57&lt;H57,I57+1,I57)&gt;$B$3),1,0)</f>
        <v>1</v>
      </c>
      <c r="N57" s="26" t="n">
        <f aca="false">IF(AND(H57&lt;$C$4,IF(I57&lt;H57,I57+1,I57)&gt;$B$4),1,0)</f>
        <v>1</v>
      </c>
      <c r="O57" s="20" t="s">
        <v>1107</v>
      </c>
    </row>
    <row r="58" customFormat="false" ht="15" hidden="false" customHeight="false" outlineLevel="0" collapsed="false">
      <c r="A58" s="20" t="s">
        <v>738</v>
      </c>
      <c r="B58" s="20" t="s">
        <v>1108</v>
      </c>
      <c r="C58" s="24" t="n">
        <v>0.267361111111111</v>
      </c>
      <c r="D58" s="24" t="n">
        <v>0.809027777777778</v>
      </c>
      <c r="E58" s="20" t="s">
        <v>1109</v>
      </c>
      <c r="F58" s="24" t="n">
        <v>0.277777777777778</v>
      </c>
      <c r="G58" s="24" t="n">
        <v>0.819444444444444</v>
      </c>
      <c r="H58" s="24" t="n">
        <f aca="false">MIN(C58,F58)</f>
        <v>0.267361111111111</v>
      </c>
      <c r="I58" s="24" t="n">
        <f aca="false">MAX(D58,G58)</f>
        <v>0.819444444444444</v>
      </c>
      <c r="J58" s="25" t="n">
        <f aca="false">IF(I58&lt;H58,(I58+1-H58)*24,(I58-H58)*24)</f>
        <v>13.25</v>
      </c>
      <c r="K58" s="20" t="s">
        <v>1028</v>
      </c>
      <c r="L58" s="26" t="n">
        <f aca="false">IF(AND(H58&lt;$C$2,IF(I58&lt;H58,I58+1,I58)&gt;$B$2),1,0)</f>
        <v>1</v>
      </c>
      <c r="M58" s="26" t="n">
        <f aca="false">IF(AND(H58&lt;$C$3,IF(I58&lt;H58,I58+1,I58)&gt;$B$3),1,0)</f>
        <v>1</v>
      </c>
      <c r="N58" s="26" t="n">
        <f aca="false">IF(AND(H58&lt;$C$4,IF(I58&lt;H58,I58+1,I58)&gt;$B$4),1,0)</f>
        <v>1</v>
      </c>
      <c r="O58" s="20"/>
    </row>
    <row r="59" customFormat="false" ht="15" hidden="false" customHeight="false" outlineLevel="0" collapsed="false">
      <c r="A59" s="20" t="s">
        <v>743</v>
      </c>
      <c r="B59" s="20" t="s">
        <v>1110</v>
      </c>
      <c r="C59" s="24" t="n">
        <v>0.302083333333333</v>
      </c>
      <c r="D59" s="24" t="n">
        <v>0.802083333333333</v>
      </c>
      <c r="E59" s="20" t="s">
        <v>1111</v>
      </c>
      <c r="F59" s="24" t="n">
        <v>0.333333333333333</v>
      </c>
      <c r="G59" s="24" t="n">
        <v>0.833333333333333</v>
      </c>
      <c r="H59" s="24" t="n">
        <f aca="false">MIN(C59,F59)</f>
        <v>0.302083333333333</v>
      </c>
      <c r="I59" s="24" t="n">
        <f aca="false">MAX(D59,G59)</f>
        <v>0.833333333333333</v>
      </c>
      <c r="J59" s="25" t="n">
        <f aca="false">IF(I59&lt;H59,(I59+1-H59)*24,(I59-H59)*24)</f>
        <v>12.75</v>
      </c>
      <c r="K59" s="20" t="s">
        <v>1028</v>
      </c>
      <c r="L59" s="26" t="n">
        <f aca="false">IF(AND(H59&lt;$C$2,IF(I59&lt;H59,I59+1,I59)&gt;$B$2),1,0)</f>
        <v>1</v>
      </c>
      <c r="M59" s="26" t="n">
        <f aca="false">IF(AND(H59&lt;$C$3,IF(I59&lt;H59,I59+1,I59)&gt;$B$3),1,0)</f>
        <v>1</v>
      </c>
      <c r="N59" s="26" t="n">
        <f aca="false">IF(AND(H59&lt;$C$4,IF(I59&lt;H59,I59+1,I59)&gt;$B$4),1,0)</f>
        <v>1</v>
      </c>
      <c r="O59" s="20"/>
    </row>
    <row r="60" customFormat="false" ht="15" hidden="false" customHeight="false" outlineLevel="0" collapsed="false">
      <c r="A60" s="20" t="s">
        <v>748</v>
      </c>
      <c r="B60" s="20" t="s">
        <v>1112</v>
      </c>
      <c r="C60" s="24" t="n">
        <v>0.260416666666667</v>
      </c>
      <c r="D60" s="24" t="n">
        <v>0.822916666666667</v>
      </c>
      <c r="E60" s="20" t="s">
        <v>1113</v>
      </c>
      <c r="F60" s="24" t="n">
        <v>0.229166666666667</v>
      </c>
      <c r="G60" s="24" t="n">
        <v>0.819444444444444</v>
      </c>
      <c r="H60" s="24" t="n">
        <f aca="false">MIN(C60,F60)</f>
        <v>0.229166666666667</v>
      </c>
      <c r="I60" s="24" t="n">
        <f aca="false">MAX(D60,G60)</f>
        <v>0.822916666666667</v>
      </c>
      <c r="J60" s="25" t="n">
        <f aca="false">IF(I60&lt;H60,(I60+1-H60)*24,(I60-H60)*24)</f>
        <v>14.25</v>
      </c>
      <c r="K60" s="20" t="s">
        <v>1114</v>
      </c>
      <c r="L60" s="26" t="n">
        <f aca="false">IF(AND(H60&lt;$C$2,IF(I60&lt;H60,I60+1,I60)&gt;$B$2),1,0)</f>
        <v>1</v>
      </c>
      <c r="M60" s="26" t="n">
        <f aca="false">IF(AND(H60&lt;$C$3,IF(I60&lt;H60,I60+1,I60)&gt;$B$3),1,0)</f>
        <v>1</v>
      </c>
      <c r="N60" s="26" t="n">
        <f aca="false">IF(AND(H60&lt;$C$4,IF(I60&lt;H60,I60+1,I60)&gt;$B$4),1,0)</f>
        <v>1</v>
      </c>
      <c r="O60" s="20"/>
    </row>
    <row r="61" customFormat="false" ht="15" hidden="false" customHeight="false" outlineLevel="0" collapsed="false">
      <c r="A61" s="20" t="s">
        <v>755</v>
      </c>
      <c r="B61" s="20" t="s">
        <v>1069</v>
      </c>
      <c r="C61" s="24" t="n">
        <v>0.298611111111111</v>
      </c>
      <c r="D61" s="24" t="n">
        <v>0.802083333333333</v>
      </c>
      <c r="E61" s="20" t="s">
        <v>1070</v>
      </c>
      <c r="F61" s="24" t="n">
        <v>0.347222222222222</v>
      </c>
      <c r="G61" s="24" t="n">
        <v>0.857638888888889</v>
      </c>
      <c r="H61" s="24" t="n">
        <f aca="false">MIN(C61,F61)</f>
        <v>0.298611111111111</v>
      </c>
      <c r="I61" s="24" t="n">
        <f aca="false">MAX(D61,G61)</f>
        <v>0.857638888888889</v>
      </c>
      <c r="J61" s="25" t="n">
        <f aca="false">IF(I61&lt;H61,(I61+1-H61)*24,(I61-H61)*24)</f>
        <v>13.4166666666667</v>
      </c>
      <c r="K61" s="20" t="s">
        <v>1028</v>
      </c>
      <c r="L61" s="26" t="n">
        <f aca="false">IF(AND(H61&lt;$C$2,IF(I61&lt;H61,I61+1,I61)&gt;$B$2),1,0)</f>
        <v>1</v>
      </c>
      <c r="M61" s="26" t="n">
        <f aca="false">IF(AND(H61&lt;$C$3,IF(I61&lt;H61,I61+1,I61)&gt;$B$3),1,0)</f>
        <v>1</v>
      </c>
      <c r="N61" s="26" t="n">
        <f aca="false">IF(AND(H61&lt;$C$4,IF(I61&lt;H61,I61+1,I61)&gt;$B$4),1,0)</f>
        <v>1</v>
      </c>
      <c r="O61" s="20"/>
    </row>
    <row r="62" customFormat="false" ht="15" hidden="false" customHeight="false" outlineLevel="0" collapsed="false">
      <c r="A62" s="20" t="s">
        <v>757</v>
      </c>
      <c r="B62" s="20" t="s">
        <v>1084</v>
      </c>
      <c r="C62" s="24" t="n">
        <v>0.284722222222222</v>
      </c>
      <c r="D62" s="24" t="n">
        <v>0.826388888888889</v>
      </c>
      <c r="E62" s="20" t="s">
        <v>1085</v>
      </c>
      <c r="F62" s="24" t="n">
        <v>0.256944444444444</v>
      </c>
      <c r="G62" s="24" t="n">
        <v>0.798611111111111</v>
      </c>
      <c r="H62" s="24" t="n">
        <f aca="false">MIN(C62,F62)</f>
        <v>0.256944444444444</v>
      </c>
      <c r="I62" s="24" t="n">
        <f aca="false">MAX(D62,G62)</f>
        <v>0.826388888888889</v>
      </c>
      <c r="J62" s="25" t="n">
        <f aca="false">IF(I62&lt;H62,(I62+1-H62)*24,(I62-H62)*24)</f>
        <v>13.6666666666667</v>
      </c>
      <c r="K62" s="20" t="s">
        <v>1028</v>
      </c>
      <c r="L62" s="26" t="n">
        <f aca="false">IF(AND(H62&lt;$C$2,IF(I62&lt;H62,I62+1,I62)&gt;$B$2),1,0)</f>
        <v>1</v>
      </c>
      <c r="M62" s="26" t="n">
        <f aca="false">IF(AND(H62&lt;$C$3,IF(I62&lt;H62,I62+1,I62)&gt;$B$3),1,0)</f>
        <v>1</v>
      </c>
      <c r="N62" s="26" t="n">
        <f aca="false">IF(AND(H62&lt;$C$4,IF(I62&lt;H62,I62+1,I62)&gt;$B$4),1,0)</f>
        <v>1</v>
      </c>
      <c r="O62" s="20"/>
    </row>
    <row r="63" customFormat="false" ht="15" hidden="false" customHeight="false" outlineLevel="0" collapsed="false">
      <c r="A63" s="20" t="s">
        <v>759</v>
      </c>
      <c r="B63" s="20" t="s">
        <v>1115</v>
      </c>
      <c r="C63" s="24" t="n">
        <v>0.291666666666667</v>
      </c>
      <c r="D63" s="24" t="n">
        <v>0.805555555555556</v>
      </c>
      <c r="E63" s="20" t="s">
        <v>1116</v>
      </c>
      <c r="F63" s="24" t="n">
        <v>0.295138888888889</v>
      </c>
      <c r="G63" s="24" t="n">
        <v>0.767361111111111</v>
      </c>
      <c r="H63" s="24" t="n">
        <f aca="false">MIN(C63,F63)</f>
        <v>0.291666666666667</v>
      </c>
      <c r="I63" s="24" t="n">
        <f aca="false">MAX(D63,G63)</f>
        <v>0.805555555555556</v>
      </c>
      <c r="J63" s="25" t="n">
        <f aca="false">IF(I63&lt;H63,(I63+1-H63)*24,(I63-H63)*24)</f>
        <v>12.3333333333333</v>
      </c>
      <c r="K63" s="20" t="s">
        <v>1028</v>
      </c>
      <c r="L63" s="26" t="n">
        <f aca="false">IF(AND(H63&lt;$C$2,IF(I63&lt;H63,I63+1,I63)&gt;$B$2),1,0)</f>
        <v>1</v>
      </c>
      <c r="M63" s="26" t="n">
        <f aca="false">IF(AND(H63&lt;$C$3,IF(I63&lt;H63,I63+1,I63)&gt;$B$3),1,0)</f>
        <v>1</v>
      </c>
      <c r="N63" s="26" t="n">
        <f aca="false">IF(AND(H63&lt;$C$4,IF(I63&lt;H63,I63+1,I63)&gt;$B$4),1,0)</f>
        <v>1</v>
      </c>
      <c r="O63" s="20" t="s">
        <v>1117</v>
      </c>
    </row>
    <row r="64" customFormat="false" ht="15" hidden="false" customHeight="false" outlineLevel="0" collapsed="false">
      <c r="A64" s="20" t="s">
        <v>770</v>
      </c>
      <c r="B64" s="20" t="s">
        <v>1118</v>
      </c>
      <c r="C64" s="24" t="n">
        <v>0.291666666666667</v>
      </c>
      <c r="D64" s="24" t="n">
        <v>0.802083333333333</v>
      </c>
      <c r="E64" s="20" t="s">
        <v>1119</v>
      </c>
      <c r="F64" s="24" t="n">
        <v>0.243055555555556</v>
      </c>
      <c r="G64" s="24" t="n">
        <v>0.753472222222222</v>
      </c>
      <c r="H64" s="24" t="n">
        <f aca="false">MIN(C64,F64)</f>
        <v>0.243055555555556</v>
      </c>
      <c r="I64" s="24" t="n">
        <f aca="false">MAX(D64,G64)</f>
        <v>0.802083333333333</v>
      </c>
      <c r="J64" s="25" t="n">
        <f aca="false">IF(I64&lt;H64,(I64+1-H64)*24,(I64-H64)*24)</f>
        <v>13.4166666666667</v>
      </c>
      <c r="K64" s="20" t="s">
        <v>1028</v>
      </c>
      <c r="L64" s="26" t="n">
        <f aca="false">IF(AND(H64&lt;$C$2,IF(I64&lt;H64,I64+1,I64)&gt;$B$2),1,0)</f>
        <v>1</v>
      </c>
      <c r="M64" s="26" t="n">
        <f aca="false">IF(AND(H64&lt;$C$3,IF(I64&lt;H64,I64+1,I64)&gt;$B$3),1,0)</f>
        <v>1</v>
      </c>
      <c r="N64" s="26" t="n">
        <f aca="false">IF(AND(H64&lt;$C$4,IF(I64&lt;H64,I64+1,I64)&gt;$B$4),1,0)</f>
        <v>1</v>
      </c>
      <c r="O64" s="20"/>
    </row>
    <row r="65" customFormat="false" ht="15" hidden="false" customHeight="false" outlineLevel="0" collapsed="false">
      <c r="A65" s="20" t="s">
        <v>779</v>
      </c>
      <c r="B65" s="20" t="s">
        <v>1120</v>
      </c>
      <c r="C65" s="24" t="n">
        <v>0.291666666666667</v>
      </c>
      <c r="D65" s="24" t="n">
        <v>0.791666666666667</v>
      </c>
      <c r="E65" s="20" t="s">
        <v>1121</v>
      </c>
      <c r="F65" s="24" t="n">
        <v>0.270833333333333</v>
      </c>
      <c r="G65" s="24" t="n">
        <v>0.8125</v>
      </c>
      <c r="H65" s="24" t="n">
        <f aca="false">MIN(C65,F65)</f>
        <v>0.270833333333333</v>
      </c>
      <c r="I65" s="24" t="n">
        <f aca="false">MAX(D65,G65)</f>
        <v>0.8125</v>
      </c>
      <c r="J65" s="25" t="n">
        <f aca="false">IF(I65&lt;H65,(I65+1-H65)*24,(I65-H65)*24)</f>
        <v>13</v>
      </c>
      <c r="K65" s="20" t="s">
        <v>1028</v>
      </c>
      <c r="L65" s="26" t="n">
        <f aca="false">IF(AND(H65&lt;$C$2,IF(I65&lt;H65,I65+1,I65)&gt;$B$2),1,0)</f>
        <v>1</v>
      </c>
      <c r="M65" s="26" t="n">
        <f aca="false">IF(AND(H65&lt;$C$3,IF(I65&lt;H65,I65+1,I65)&gt;$B$3),1,0)</f>
        <v>1</v>
      </c>
      <c r="N65" s="26" t="n">
        <f aca="false">IF(AND(H65&lt;$C$4,IF(I65&lt;H65,I65+1,I65)&gt;$B$4),1,0)</f>
        <v>1</v>
      </c>
      <c r="O65" s="20"/>
    </row>
    <row r="66" customFormat="false" ht="15" hidden="false" customHeight="false" outlineLevel="0" collapsed="false">
      <c r="A66" s="20" t="s">
        <v>784</v>
      </c>
      <c r="B66" s="20" t="s">
        <v>1122</v>
      </c>
      <c r="C66" s="24" t="n">
        <v>0.236111111111111</v>
      </c>
      <c r="D66" s="24" t="n">
        <v>0.84375</v>
      </c>
      <c r="E66" s="20" t="s">
        <v>1123</v>
      </c>
      <c r="F66" s="24" t="n">
        <v>0.288194444444444</v>
      </c>
      <c r="G66" s="24" t="n">
        <v>0.895833333333333</v>
      </c>
      <c r="H66" s="24" t="n">
        <f aca="false">MIN(C66,F66)</f>
        <v>0.236111111111111</v>
      </c>
      <c r="I66" s="24" t="n">
        <f aca="false">MAX(D66,G66)</f>
        <v>0.895833333333333</v>
      </c>
      <c r="J66" s="25" t="n">
        <f aca="false">IF(I66&lt;H66,(I66+1-H66)*24,(I66-H66)*24)</f>
        <v>15.8333333333333</v>
      </c>
      <c r="K66" s="20" t="s">
        <v>1028</v>
      </c>
      <c r="L66" s="26" t="n">
        <f aca="false">IF(AND(H66&lt;$C$2,IF(I66&lt;H66,I66+1,I66)&gt;$B$2),1,0)</f>
        <v>1</v>
      </c>
      <c r="M66" s="26" t="n">
        <f aca="false">IF(AND(H66&lt;$C$3,IF(I66&lt;H66,I66+1,I66)&gt;$B$3),1,0)</f>
        <v>1</v>
      </c>
      <c r="N66" s="26" t="n">
        <f aca="false">IF(AND(H66&lt;$C$4,IF(I66&lt;H66,I66+1,I66)&gt;$B$4),1,0)</f>
        <v>1</v>
      </c>
      <c r="O66" s="20"/>
    </row>
    <row r="67" customFormat="false" ht="15" hidden="false" customHeight="false" outlineLevel="0" collapsed="false">
      <c r="A67" s="20" t="s">
        <v>788</v>
      </c>
      <c r="B67" s="20" t="s">
        <v>1124</v>
      </c>
      <c r="C67" s="24" t="n">
        <v>0.208333333333333</v>
      </c>
      <c r="D67" s="24" t="n">
        <v>0.833333333333333</v>
      </c>
      <c r="E67" s="20" t="s">
        <v>1125</v>
      </c>
      <c r="F67" s="24" t="n">
        <v>0.263888888888889</v>
      </c>
      <c r="G67" s="24" t="n">
        <v>0.888888888888889</v>
      </c>
      <c r="H67" s="24" t="n">
        <f aca="false">MIN(C67,F67)</f>
        <v>0.208333333333333</v>
      </c>
      <c r="I67" s="24" t="n">
        <f aca="false">MAX(D67,G67)</f>
        <v>0.888888888888889</v>
      </c>
      <c r="J67" s="25" t="n">
        <f aca="false">IF(I67&lt;H67,(I67+1-H67)*24,(I67-H67)*24)</f>
        <v>16.3333333333333</v>
      </c>
      <c r="K67" s="20" t="s">
        <v>1126</v>
      </c>
      <c r="L67" s="26" t="n">
        <f aca="false">IF(AND(H67&lt;$C$2,IF(I67&lt;H67,I67+1,I67)&gt;$B$2),1,0)</f>
        <v>1</v>
      </c>
      <c r="M67" s="26" t="n">
        <f aca="false">IF(AND(H67&lt;$C$3,IF(I67&lt;H67,I67+1,I67)&gt;$B$3),1,0)</f>
        <v>1</v>
      </c>
      <c r="N67" s="26" t="n">
        <f aca="false">IF(AND(H67&lt;$C$4,IF(I67&lt;H67,I67+1,I67)&gt;$B$4),1,0)</f>
        <v>1</v>
      </c>
      <c r="O67" s="20" t="s">
        <v>1127</v>
      </c>
    </row>
    <row r="68" customFormat="false" ht="15" hidden="false" customHeight="false" outlineLevel="0" collapsed="false">
      <c r="A68" s="20" t="s">
        <v>790</v>
      </c>
      <c r="B68" s="20" t="s">
        <v>1064</v>
      </c>
      <c r="C68" s="24" t="n">
        <v>0.208333333333333</v>
      </c>
      <c r="D68" s="24" t="n">
        <v>0.805555555555556</v>
      </c>
      <c r="E68" s="20" t="s">
        <v>1065</v>
      </c>
      <c r="F68" s="24" t="n">
        <v>0.263888888888889</v>
      </c>
      <c r="G68" s="24" t="n">
        <v>0.888888888888889</v>
      </c>
      <c r="H68" s="24" t="n">
        <f aca="false">MIN(C68,F68)</f>
        <v>0.208333333333333</v>
      </c>
      <c r="I68" s="24" t="n">
        <f aca="false">MAX(D68,G68)</f>
        <v>0.888888888888889</v>
      </c>
      <c r="J68" s="25" t="n">
        <f aca="false">IF(I68&lt;H68,(I68+1-H68)*24,(I68-H68)*24)</f>
        <v>16.3333333333333</v>
      </c>
      <c r="K68" s="20" t="s">
        <v>1126</v>
      </c>
      <c r="L68" s="26" t="n">
        <f aca="false">IF(AND(H68&lt;$C$2,IF(I68&lt;H68,I68+1,I68)&gt;$B$2),1,0)</f>
        <v>1</v>
      </c>
      <c r="M68" s="26" t="n">
        <f aca="false">IF(AND(H68&lt;$C$3,IF(I68&lt;H68,I68+1,I68)&gt;$B$3),1,0)</f>
        <v>1</v>
      </c>
      <c r="N68" s="26" t="n">
        <f aca="false">IF(AND(H68&lt;$C$4,IF(I68&lt;H68,I68+1,I68)&gt;$B$4),1,0)</f>
        <v>1</v>
      </c>
      <c r="O68" s="20" t="s">
        <v>1127</v>
      </c>
    </row>
    <row r="69" customFormat="false" ht="15" hidden="false" customHeight="false" outlineLevel="0" collapsed="false">
      <c r="A69" s="20" t="s">
        <v>801</v>
      </c>
      <c r="B69" s="20" t="s">
        <v>1096</v>
      </c>
      <c r="C69" s="24" t="n">
        <v>0.225694444444444</v>
      </c>
      <c r="D69" s="24" t="n">
        <v>0.826388888888889</v>
      </c>
      <c r="E69" s="20" t="s">
        <v>1097</v>
      </c>
      <c r="F69" s="24" t="n">
        <v>0.21875</v>
      </c>
      <c r="G69" s="24" t="n">
        <v>0.881944444444444</v>
      </c>
      <c r="H69" s="24" t="n">
        <f aca="false">MIN(C69,F69)</f>
        <v>0.21875</v>
      </c>
      <c r="I69" s="24" t="n">
        <f aca="false">MAX(D69,G69)</f>
        <v>0.881944444444444</v>
      </c>
      <c r="J69" s="25" t="n">
        <f aca="false">IF(I69&lt;H69,(I69+1-H69)*24,(I69-H69)*24)</f>
        <v>15.9166666666667</v>
      </c>
      <c r="K69" s="20" t="s">
        <v>1028</v>
      </c>
      <c r="L69" s="26" t="n">
        <f aca="false">IF(AND(H69&lt;$C$2,IF(I69&lt;H69,I69+1,I69)&gt;$B$2),1,0)</f>
        <v>1</v>
      </c>
      <c r="M69" s="26" t="n">
        <f aca="false">IF(AND(H69&lt;$C$3,IF(I69&lt;H69,I69+1,I69)&gt;$B$3),1,0)</f>
        <v>1</v>
      </c>
      <c r="N69" s="26" t="n">
        <f aca="false">IF(AND(H69&lt;$C$4,IF(I69&lt;H69,I69+1,I69)&gt;$B$4),1,0)</f>
        <v>1</v>
      </c>
      <c r="O69" s="20"/>
    </row>
    <row r="70" customFormat="false" ht="15" hidden="false" customHeight="false" outlineLevel="0" collapsed="false">
      <c r="A70" s="20" t="s">
        <v>805</v>
      </c>
      <c r="B70" s="20" t="s">
        <v>1088</v>
      </c>
      <c r="C70" s="24" t="n">
        <v>0.246527777777778</v>
      </c>
      <c r="D70" s="24" t="n">
        <v>0.822916666666667</v>
      </c>
      <c r="E70" s="20" t="s">
        <v>1089</v>
      </c>
      <c r="F70" s="24" t="n">
        <v>0.288194444444444</v>
      </c>
      <c r="G70" s="24" t="n">
        <v>0.864583333333333</v>
      </c>
      <c r="H70" s="24" t="n">
        <f aca="false">MIN(C70,F70)</f>
        <v>0.246527777777778</v>
      </c>
      <c r="I70" s="24" t="n">
        <f aca="false">MAX(D70,G70)</f>
        <v>0.864583333333333</v>
      </c>
      <c r="J70" s="25" t="n">
        <f aca="false">IF(I70&lt;H70,(I70+1-H70)*24,(I70-H70)*24)</f>
        <v>14.8333333333333</v>
      </c>
      <c r="K70" s="20" t="s">
        <v>1028</v>
      </c>
      <c r="L70" s="26" t="n">
        <f aca="false">IF(AND(H70&lt;$C$2,IF(I70&lt;H70,I70+1,I70)&gt;$B$2),1,0)</f>
        <v>1</v>
      </c>
      <c r="M70" s="26" t="n">
        <f aca="false">IF(AND(H70&lt;$C$3,IF(I70&lt;H70,I70+1,I70)&gt;$B$3),1,0)</f>
        <v>1</v>
      </c>
      <c r="N70" s="26" t="n">
        <f aca="false">IF(AND(H70&lt;$C$4,IF(I70&lt;H70,I70+1,I70)&gt;$B$4),1,0)</f>
        <v>1</v>
      </c>
      <c r="O70" s="20"/>
    </row>
    <row r="71" customFormat="false" ht="15" hidden="false" customHeight="false" outlineLevel="0" collapsed="false">
      <c r="A71" s="20" t="s">
        <v>819</v>
      </c>
      <c r="B71" s="20" t="s">
        <v>1092</v>
      </c>
      <c r="C71" s="24" t="n">
        <v>0.329861111111111</v>
      </c>
      <c r="D71" s="24" t="n">
        <v>0.722222222222222</v>
      </c>
      <c r="E71" s="20" t="s">
        <v>1093</v>
      </c>
      <c r="F71" s="24" t="n">
        <v>0.260416666666667</v>
      </c>
      <c r="G71" s="24" t="n">
        <v>0.791666666666667</v>
      </c>
      <c r="H71" s="24" t="n">
        <f aca="false">MIN(C71,F71)</f>
        <v>0.260416666666667</v>
      </c>
      <c r="I71" s="24" t="n">
        <f aca="false">MAX(D71,G71)</f>
        <v>0.791666666666667</v>
      </c>
      <c r="J71" s="25" t="n">
        <f aca="false">IF(I71&lt;H71,(I71+1-H71)*24,(I71-H71)*24)</f>
        <v>12.75</v>
      </c>
      <c r="K71" s="20" t="s">
        <v>1028</v>
      </c>
      <c r="L71" s="26" t="n">
        <f aca="false">IF(AND(H71&lt;$C$2,IF(I71&lt;H71,I71+1,I71)&gt;$B$2),1,0)</f>
        <v>1</v>
      </c>
      <c r="M71" s="26" t="n">
        <f aca="false">IF(AND(H71&lt;$C$3,IF(I71&lt;H71,I71+1,I71)&gt;$B$3),1,0)</f>
        <v>1</v>
      </c>
      <c r="N71" s="26" t="n">
        <f aca="false">IF(AND(H71&lt;$C$4,IF(I71&lt;H71,I71+1,I71)&gt;$B$4),1,0)</f>
        <v>1</v>
      </c>
      <c r="O71" s="20" t="s">
        <v>1128</v>
      </c>
    </row>
    <row r="72" customFormat="false" ht="15" hidden="false" customHeight="false" outlineLevel="0" collapsed="false">
      <c r="A72" s="20" t="s">
        <v>828</v>
      </c>
      <c r="B72" s="20" t="s">
        <v>1129</v>
      </c>
      <c r="C72" s="24" t="n">
        <v>0.21875</v>
      </c>
      <c r="D72" s="24" t="n">
        <v>0.798611111111111</v>
      </c>
      <c r="E72" s="20" t="s">
        <v>1130</v>
      </c>
      <c r="F72" s="24" t="n">
        <v>0.263888888888889</v>
      </c>
      <c r="G72" s="24" t="n">
        <v>0.84375</v>
      </c>
      <c r="H72" s="24" t="n">
        <f aca="false">MIN(C72,F72)</f>
        <v>0.21875</v>
      </c>
      <c r="I72" s="24" t="n">
        <f aca="false">MAX(D72,G72)</f>
        <v>0.84375</v>
      </c>
      <c r="J72" s="25" t="n">
        <f aca="false">IF(I72&lt;H72,(I72+1-H72)*24,(I72-H72)*24)</f>
        <v>15</v>
      </c>
      <c r="K72" s="20" t="s">
        <v>1028</v>
      </c>
      <c r="L72" s="26" t="n">
        <f aca="false">IF(AND(H72&lt;$C$2,IF(I72&lt;H72,I72+1,I72)&gt;$B$2),1,0)</f>
        <v>1</v>
      </c>
      <c r="M72" s="26" t="n">
        <f aca="false">IF(AND(H72&lt;$C$3,IF(I72&lt;H72,I72+1,I72)&gt;$B$3),1,0)</f>
        <v>1</v>
      </c>
      <c r="N72" s="26" t="n">
        <f aca="false">IF(AND(H72&lt;$C$4,IF(I72&lt;H72,I72+1,I72)&gt;$B$4),1,0)</f>
        <v>1</v>
      </c>
      <c r="O72" s="20" t="s">
        <v>1131</v>
      </c>
    </row>
    <row r="73" customFormat="false" ht="15" hidden="false" customHeight="false" outlineLevel="0" collapsed="false">
      <c r="A73" s="20" t="s">
        <v>830</v>
      </c>
      <c r="B73" s="20" t="s">
        <v>1132</v>
      </c>
      <c r="C73" s="24" t="n">
        <v>0.256944444444444</v>
      </c>
      <c r="D73" s="24" t="n">
        <v>0.8125</v>
      </c>
      <c r="E73" s="20" t="s">
        <v>1133</v>
      </c>
      <c r="F73" s="24" t="n">
        <v>0.340277777777778</v>
      </c>
      <c r="G73" s="24" t="n">
        <v>0.881944444444444</v>
      </c>
      <c r="H73" s="24" t="n">
        <f aca="false">MIN(C73,F73)</f>
        <v>0.256944444444444</v>
      </c>
      <c r="I73" s="24" t="n">
        <f aca="false">MAX(D73,G73)</f>
        <v>0.881944444444444</v>
      </c>
      <c r="J73" s="25" t="n">
        <f aca="false">IF(I73&lt;H73,(I73+1-H73)*24,(I73-H73)*24)</f>
        <v>15</v>
      </c>
      <c r="K73" s="20" t="s">
        <v>1028</v>
      </c>
      <c r="L73" s="26" t="n">
        <f aca="false">IF(AND(H73&lt;$C$2,IF(I73&lt;H73,I73+1,I73)&gt;$B$2),1,0)</f>
        <v>1</v>
      </c>
      <c r="M73" s="26" t="n">
        <f aca="false">IF(AND(H73&lt;$C$3,IF(I73&lt;H73,I73+1,I73)&gt;$B$3),1,0)</f>
        <v>1</v>
      </c>
      <c r="N73" s="26" t="n">
        <f aca="false">IF(AND(H73&lt;$C$4,IF(I73&lt;H73,I73+1,I73)&gt;$B$4),1,0)</f>
        <v>1</v>
      </c>
      <c r="O73" s="20"/>
    </row>
    <row r="74" customFormat="false" ht="15" hidden="false" customHeight="false" outlineLevel="0" collapsed="false">
      <c r="A74" s="20" t="s">
        <v>854</v>
      </c>
      <c r="B74" s="20" t="s">
        <v>1134</v>
      </c>
      <c r="C74" s="24" t="n">
        <v>0.0277777777777778</v>
      </c>
      <c r="D74" s="24" t="n">
        <v>0.923611111111111</v>
      </c>
      <c r="E74" s="20" t="s">
        <v>1135</v>
      </c>
      <c r="F74" s="24" t="n">
        <v>0.0763888888888889</v>
      </c>
      <c r="G74" s="24" t="n">
        <v>0.979166666666667</v>
      </c>
      <c r="H74" s="24" t="n">
        <f aca="false">MIN(C74,F74)</f>
        <v>0.0277777777777778</v>
      </c>
      <c r="I74" s="24" t="n">
        <f aca="false">MAX(D74,G74)</f>
        <v>0.979166666666667</v>
      </c>
      <c r="J74" s="25" t="n">
        <f aca="false">IF(I74&lt;H74,(I74+1-H74)*24,(I74-H74)*24)</f>
        <v>22.8333333333333</v>
      </c>
      <c r="K74" s="20" t="s">
        <v>1136</v>
      </c>
      <c r="L74" s="26" t="n">
        <f aca="false">IF(AND(H74&lt;$C$2,IF(I74&lt;H74,I74+1,I74)&gt;$B$2),1,0)</f>
        <v>1</v>
      </c>
      <c r="M74" s="26" t="n">
        <f aca="false">IF(AND(H74&lt;$C$3,IF(I74&lt;H74,I74+1,I74)&gt;$B$3),1,0)</f>
        <v>1</v>
      </c>
      <c r="N74" s="26" t="n">
        <f aca="false">IF(AND(H74&lt;$C$4,IF(I74&lt;H74,I74+1,I74)&gt;$B$4),1,0)</f>
        <v>1</v>
      </c>
      <c r="O74" s="20" t="s">
        <v>1137</v>
      </c>
    </row>
    <row r="75" customFormat="false" ht="15" hidden="false" customHeight="false" outlineLevel="0" collapsed="false">
      <c r="A75" s="16" t="s">
        <v>1138</v>
      </c>
      <c r="L75" s="27" t="n">
        <f aca="false">SUM(L7:L74)</f>
        <v>64</v>
      </c>
      <c r="M75" s="27" t="n">
        <f aca="false">SUM(M7:M74)</f>
        <v>65</v>
      </c>
      <c r="N75" s="27" t="n">
        <f aca="false">SUM(N7:N74)</f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28" t="s">
        <v>1139</v>
      </c>
    </row>
    <row r="2" customFormat="false" ht="15" hidden="false" customHeight="false" outlineLevel="0" collapsed="false">
      <c r="A2" s="20" t="s">
        <v>1140</v>
      </c>
      <c r="C2" s="16" t="n">
        <f aca="false">COUNTA(A9:A76)</f>
        <v>68</v>
      </c>
    </row>
    <row r="3" customFormat="false" ht="15" hidden="false" customHeight="false" outlineLevel="0" collapsed="false">
      <c r="A3" s="20" t="s">
        <v>1141</v>
      </c>
      <c r="C3" s="16" t="n">
        <f aca="false">COUNTIF(H9:H76,"OK")</f>
        <v>68</v>
      </c>
    </row>
    <row r="4" customFormat="false" ht="15" hidden="false" customHeight="false" outlineLevel="0" collapsed="false">
      <c r="A4" s="20" t="s">
        <v>1142</v>
      </c>
      <c r="C4" s="16" t="n">
        <f aca="false">SUM(D9:D76)</f>
        <v>389</v>
      </c>
    </row>
    <row r="5" customFormat="false" ht="15" hidden="false" customHeight="false" outlineLevel="0" collapsed="false">
      <c r="A5" s="20" t="s">
        <v>1143</v>
      </c>
      <c r="C5" s="16" t="n">
        <f aca="false">'Route Master'!I70</f>
        <v>389</v>
      </c>
    </row>
    <row r="6" customFormat="false" ht="15" hidden="false" customHeight="false" outlineLevel="0" collapsed="false">
      <c r="A6" s="20" t="s">
        <v>1144</v>
      </c>
      <c r="C6" s="29" t="n">
        <f aca="false">SUM(C9:C76)</f>
        <v>1662</v>
      </c>
    </row>
    <row r="7" customFormat="false" ht="15" hidden="false" customHeight="false" outlineLevel="0" collapsed="false">
      <c r="A7" s="20" t="s">
        <v>1145</v>
      </c>
      <c r="C7" s="29" t="n">
        <f aca="false">'Route Master'!H70</f>
        <v>1662</v>
      </c>
    </row>
    <row r="8" customFormat="false" ht="31.5" hidden="false" customHeight="true" outlineLevel="0" collapsed="false">
      <c r="A8" s="23" t="s">
        <v>868</v>
      </c>
      <c r="B8" s="23" t="s">
        <v>1146</v>
      </c>
      <c r="C8" s="23" t="s">
        <v>1147</v>
      </c>
      <c r="D8" s="23" t="s">
        <v>1148</v>
      </c>
      <c r="E8" s="23" t="s">
        <v>1149</v>
      </c>
      <c r="F8" s="23" t="s">
        <v>1150</v>
      </c>
      <c r="G8" s="23" t="s">
        <v>1151</v>
      </c>
      <c r="H8" s="23" t="s">
        <v>1152</v>
      </c>
    </row>
    <row r="9" customFormat="false" ht="15" hidden="false" customHeight="false" outlineLevel="0" collapsed="false">
      <c r="A9" s="20" t="s">
        <v>356</v>
      </c>
      <c r="B9" s="30" t="s">
        <v>588</v>
      </c>
      <c r="C9" s="31" t="n">
        <v>24</v>
      </c>
      <c r="D9" s="30" t="n">
        <v>8</v>
      </c>
      <c r="E9" s="20" t="str">
        <f aca="false">INDEX('Route Master'!$E$2:$E$69,MATCH(A9,'Route Master'!$A$2:$A$69,0))</f>
        <v>20</v>
      </c>
      <c r="F9" s="25" t="n">
        <f aca="false">INDEX('Route Master'!$H$2:$H$69,MATCH(A9,'Route Master'!$A$2:$A$69,0))</f>
        <v>24</v>
      </c>
      <c r="G9" s="20" t="n">
        <f aca="false">INDEX('Route Master'!$I$2:$I$69,MATCH(A9,'Route Master'!$A$2:$A$69,0))</f>
        <v>8</v>
      </c>
      <c r="H9" s="26" t="str">
        <f aca="false">IF(AND(B9=E9,C9=F9,D9=G9),"OK","CHECK")</f>
        <v>OK</v>
      </c>
    </row>
    <row r="10" customFormat="false" ht="15" hidden="false" customHeight="false" outlineLevel="0" collapsed="false">
      <c r="A10" s="20" t="s">
        <v>364</v>
      </c>
      <c r="B10" s="30" t="s">
        <v>880</v>
      </c>
      <c r="C10" s="31" t="n">
        <v>38.3</v>
      </c>
      <c r="D10" s="30" t="n">
        <v>6</v>
      </c>
      <c r="E10" s="20" t="str">
        <f aca="false">INDEX('Route Master'!$E$2:$E$69,MATCH(A10,'Route Master'!$A$2:$A$69,0))</f>
        <v>20-25</v>
      </c>
      <c r="F10" s="25" t="n">
        <f aca="false">INDEX('Route Master'!$H$2:$H$69,MATCH(A10,'Route Master'!$A$2:$A$69,0))</f>
        <v>38.3</v>
      </c>
      <c r="G10" s="20" t="n">
        <f aca="false">INDEX('Route Master'!$I$2:$I$69,MATCH(A10,'Route Master'!$A$2:$A$69,0))</f>
        <v>6</v>
      </c>
      <c r="H10" s="26" t="str">
        <f aca="false">IF(AND(B10=E10,C10=F10,D10=G10),"OK","CHECK")</f>
        <v>OK</v>
      </c>
    </row>
    <row r="11" customFormat="false" ht="15" hidden="false" customHeight="false" outlineLevel="0" collapsed="false">
      <c r="A11" s="20" t="s">
        <v>374</v>
      </c>
      <c r="B11" s="30" t="s">
        <v>880</v>
      </c>
      <c r="C11" s="31" t="n">
        <v>38.3</v>
      </c>
      <c r="D11" s="30" t="n">
        <v>6</v>
      </c>
      <c r="E11" s="20" t="str">
        <f aca="false">INDEX('Route Master'!$E$2:$E$69,MATCH(A11,'Route Master'!$A$2:$A$69,0))</f>
        <v>20-25</v>
      </c>
      <c r="F11" s="25" t="n">
        <f aca="false">INDEX('Route Master'!$H$2:$H$69,MATCH(A11,'Route Master'!$A$2:$A$69,0))</f>
        <v>38.3</v>
      </c>
      <c r="G11" s="20" t="n">
        <f aca="false">INDEX('Route Master'!$I$2:$I$69,MATCH(A11,'Route Master'!$A$2:$A$69,0))</f>
        <v>6</v>
      </c>
      <c r="H11" s="26" t="str">
        <f aca="false">IF(AND(B11=E11,C11=F11,D11=G11),"OK","CHECK")</f>
        <v>OK</v>
      </c>
    </row>
    <row r="12" customFormat="false" ht="15" hidden="false" customHeight="false" outlineLevel="0" collapsed="false">
      <c r="A12" s="20" t="s">
        <v>387</v>
      </c>
      <c r="B12" s="30" t="s">
        <v>883</v>
      </c>
      <c r="C12" s="31" t="n">
        <v>32.5</v>
      </c>
      <c r="D12" s="30" t="n">
        <v>4</v>
      </c>
      <c r="E12" s="20" t="str">
        <f aca="false">INDEX('Route Master'!$E$2:$E$69,MATCH(A12,'Route Master'!$A$2:$A$69,0))</f>
        <v>25</v>
      </c>
      <c r="F12" s="25" t="n">
        <f aca="false">INDEX('Route Master'!$H$2:$H$69,MATCH(A12,'Route Master'!$A$2:$A$69,0))</f>
        <v>32.5</v>
      </c>
      <c r="G12" s="20" t="n">
        <f aca="false">INDEX('Route Master'!$I$2:$I$69,MATCH(A12,'Route Master'!$A$2:$A$69,0))</f>
        <v>4</v>
      </c>
      <c r="H12" s="26" t="str">
        <f aca="false">IF(AND(B12=E12,C12=F12,D12=G12),"OK","CHECK")</f>
        <v>OK</v>
      </c>
    </row>
    <row r="13" customFormat="false" ht="15" hidden="false" customHeight="false" outlineLevel="0" collapsed="false">
      <c r="A13" s="20" t="s">
        <v>394</v>
      </c>
      <c r="B13" s="30" t="s">
        <v>883</v>
      </c>
      <c r="C13" s="31" t="n">
        <v>32.5</v>
      </c>
      <c r="D13" s="30" t="n">
        <v>4</v>
      </c>
      <c r="E13" s="20" t="str">
        <f aca="false">INDEX('Route Master'!$E$2:$E$69,MATCH(A13,'Route Master'!$A$2:$A$69,0))</f>
        <v>25</v>
      </c>
      <c r="F13" s="25" t="n">
        <f aca="false">INDEX('Route Master'!$H$2:$H$69,MATCH(A13,'Route Master'!$A$2:$A$69,0))</f>
        <v>32.5</v>
      </c>
      <c r="G13" s="20" t="n">
        <f aca="false">INDEX('Route Master'!$I$2:$I$69,MATCH(A13,'Route Master'!$A$2:$A$69,0))</f>
        <v>4</v>
      </c>
      <c r="H13" s="26" t="str">
        <f aca="false">IF(AND(B13=E13,C13=F13,D13=G13),"OK","CHECK")</f>
        <v>OK</v>
      </c>
    </row>
    <row r="14" customFormat="false" ht="15" hidden="false" customHeight="false" outlineLevel="0" collapsed="false">
      <c r="A14" s="20" t="s">
        <v>400</v>
      </c>
      <c r="B14" s="30" t="s">
        <v>886</v>
      </c>
      <c r="C14" s="31" t="n">
        <v>38.4</v>
      </c>
      <c r="D14" s="30" t="n">
        <v>8</v>
      </c>
      <c r="E14" s="20" t="str">
        <f aca="false">INDEX('Route Master'!$E$2:$E$69,MATCH(A14,'Route Master'!$A$2:$A$69,0))</f>
        <v>15-30</v>
      </c>
      <c r="F14" s="25" t="n">
        <f aca="false">INDEX('Route Master'!$H$2:$H$69,MATCH(A14,'Route Master'!$A$2:$A$69,0))</f>
        <v>38.4</v>
      </c>
      <c r="G14" s="20" t="n">
        <f aca="false">INDEX('Route Master'!$I$2:$I$69,MATCH(A14,'Route Master'!$A$2:$A$69,0))</f>
        <v>8</v>
      </c>
      <c r="H14" s="26" t="str">
        <f aca="false">IF(AND(B14=E14,C14=F14,D14=G14),"OK","CHECK")</f>
        <v>OK</v>
      </c>
    </row>
    <row r="15" customFormat="false" ht="15" hidden="false" customHeight="false" outlineLevel="0" collapsed="false">
      <c r="A15" s="20" t="s">
        <v>422</v>
      </c>
      <c r="B15" s="30" t="s">
        <v>886</v>
      </c>
      <c r="C15" s="31" t="n">
        <v>38.4</v>
      </c>
      <c r="D15" s="30" t="n">
        <v>8</v>
      </c>
      <c r="E15" s="20" t="str">
        <f aca="false">INDEX('Route Master'!$E$2:$E$69,MATCH(A15,'Route Master'!$A$2:$A$69,0))</f>
        <v>15-30</v>
      </c>
      <c r="F15" s="25" t="n">
        <f aca="false">INDEX('Route Master'!$H$2:$H$69,MATCH(A15,'Route Master'!$A$2:$A$69,0))</f>
        <v>38.4</v>
      </c>
      <c r="G15" s="20" t="n">
        <f aca="false">INDEX('Route Master'!$I$2:$I$69,MATCH(A15,'Route Master'!$A$2:$A$69,0))</f>
        <v>8</v>
      </c>
      <c r="H15" s="26" t="str">
        <f aca="false">IF(AND(B15=E15,C15=F15,D15=G15),"OK","CHECK")</f>
        <v>OK</v>
      </c>
    </row>
    <row r="16" customFormat="false" ht="15" hidden="false" customHeight="false" outlineLevel="0" collapsed="false">
      <c r="A16" s="20" t="s">
        <v>440</v>
      </c>
      <c r="B16" s="30" t="s">
        <v>615</v>
      </c>
      <c r="C16" s="31" t="n">
        <v>25.5</v>
      </c>
      <c r="D16" s="30" t="n">
        <v>6</v>
      </c>
      <c r="E16" s="20" t="str">
        <f aca="false">INDEX('Route Master'!$E$2:$E$69,MATCH(A16,'Route Master'!$A$2:$A$69,0))</f>
        <v>30</v>
      </c>
      <c r="F16" s="25" t="n">
        <f aca="false">INDEX('Route Master'!$H$2:$H$69,MATCH(A16,'Route Master'!$A$2:$A$69,0))</f>
        <v>25.5</v>
      </c>
      <c r="G16" s="20" t="n">
        <f aca="false">INDEX('Route Master'!$I$2:$I$69,MATCH(A16,'Route Master'!$A$2:$A$69,0))</f>
        <v>6</v>
      </c>
      <c r="H16" s="26" t="str">
        <f aca="false">IF(AND(B16=E16,C16=F16,D16=G16),"OK","CHECK")</f>
        <v>OK</v>
      </c>
    </row>
    <row r="17" customFormat="false" ht="15" hidden="false" customHeight="false" outlineLevel="0" collapsed="false">
      <c r="A17" s="20" t="s">
        <v>448</v>
      </c>
      <c r="B17" s="30" t="s">
        <v>883</v>
      </c>
      <c r="C17" s="31" t="n">
        <v>21.5</v>
      </c>
      <c r="D17" s="30" t="n">
        <v>6</v>
      </c>
      <c r="E17" s="20" t="str">
        <f aca="false">INDEX('Route Master'!$E$2:$E$69,MATCH(A17,'Route Master'!$A$2:$A$69,0))</f>
        <v>25</v>
      </c>
      <c r="F17" s="25" t="n">
        <f aca="false">INDEX('Route Master'!$H$2:$H$69,MATCH(A17,'Route Master'!$A$2:$A$69,0))</f>
        <v>21.5</v>
      </c>
      <c r="G17" s="20" t="n">
        <f aca="false">INDEX('Route Master'!$I$2:$I$69,MATCH(A17,'Route Master'!$A$2:$A$69,0))</f>
        <v>6</v>
      </c>
      <c r="H17" s="26" t="str">
        <f aca="false">IF(AND(B17=E17,C17=F17,D17=G17),"OK","CHECK")</f>
        <v>OK</v>
      </c>
    </row>
    <row r="18" customFormat="false" ht="15" hidden="false" customHeight="false" outlineLevel="0" collapsed="false">
      <c r="A18" s="20" t="s">
        <v>457</v>
      </c>
      <c r="B18" s="30" t="s">
        <v>615</v>
      </c>
      <c r="C18" s="31" t="n">
        <v>38.3</v>
      </c>
      <c r="D18" s="30" t="n">
        <v>4</v>
      </c>
      <c r="E18" s="20" t="str">
        <f aca="false">INDEX('Route Master'!$E$2:$E$69,MATCH(A18,'Route Master'!$A$2:$A$69,0))</f>
        <v>30</v>
      </c>
      <c r="F18" s="25" t="n">
        <f aca="false">INDEX('Route Master'!$H$2:$H$69,MATCH(A18,'Route Master'!$A$2:$A$69,0))</f>
        <v>38.3</v>
      </c>
      <c r="G18" s="20" t="n">
        <f aca="false">INDEX('Route Master'!$I$2:$I$69,MATCH(A18,'Route Master'!$A$2:$A$69,0))</f>
        <v>4</v>
      </c>
      <c r="H18" s="26" t="str">
        <f aca="false">IF(AND(B18=E18,C18=F18,D18=G18),"OK","CHECK")</f>
        <v>OK</v>
      </c>
    </row>
    <row r="19" customFormat="false" ht="15" hidden="false" customHeight="false" outlineLevel="0" collapsed="false">
      <c r="A19" s="20" t="s">
        <v>479</v>
      </c>
      <c r="B19" s="30" t="s">
        <v>615</v>
      </c>
      <c r="C19" s="31" t="n">
        <v>38.3</v>
      </c>
      <c r="D19" s="30" t="n">
        <v>4</v>
      </c>
      <c r="E19" s="20" t="str">
        <f aca="false">INDEX('Route Master'!$E$2:$E$69,MATCH(A19,'Route Master'!$A$2:$A$69,0))</f>
        <v>30</v>
      </c>
      <c r="F19" s="25" t="n">
        <f aca="false">INDEX('Route Master'!$H$2:$H$69,MATCH(A19,'Route Master'!$A$2:$A$69,0))</f>
        <v>38.3</v>
      </c>
      <c r="G19" s="20" t="n">
        <f aca="false">INDEX('Route Master'!$I$2:$I$69,MATCH(A19,'Route Master'!$A$2:$A$69,0))</f>
        <v>4</v>
      </c>
      <c r="H19" s="26" t="str">
        <f aca="false">IF(AND(B19=E19,C19=F19,D19=G19),"OK","CHECK")</f>
        <v>OK</v>
      </c>
    </row>
    <row r="20" customFormat="false" ht="15" hidden="false" customHeight="false" outlineLevel="0" collapsed="false">
      <c r="A20" s="20" t="s">
        <v>499</v>
      </c>
      <c r="B20" s="30" t="s">
        <v>615</v>
      </c>
      <c r="C20" s="31" t="n">
        <v>3</v>
      </c>
      <c r="D20" s="30" t="n">
        <v>1</v>
      </c>
      <c r="E20" s="20" t="str">
        <f aca="false">INDEX('Route Master'!$E$2:$E$69,MATCH(A20,'Route Master'!$A$2:$A$69,0))</f>
        <v>30</v>
      </c>
      <c r="F20" s="25" t="n">
        <f aca="false">INDEX('Route Master'!$H$2:$H$69,MATCH(A20,'Route Master'!$A$2:$A$69,0))</f>
        <v>3</v>
      </c>
      <c r="G20" s="20" t="n">
        <f aca="false">INDEX('Route Master'!$I$2:$I$69,MATCH(A20,'Route Master'!$A$2:$A$69,0))</f>
        <v>1</v>
      </c>
      <c r="H20" s="26" t="str">
        <f aca="false">IF(AND(B20=E20,C20=F20,D20=G20),"OK","CHECK")</f>
        <v>OK</v>
      </c>
    </row>
    <row r="21" customFormat="false" ht="15" hidden="false" customHeight="false" outlineLevel="0" collapsed="false">
      <c r="A21" s="20" t="s">
        <v>503</v>
      </c>
      <c r="B21" s="30" t="s">
        <v>894</v>
      </c>
      <c r="C21" s="31" t="n">
        <v>11</v>
      </c>
      <c r="D21" s="30" t="n">
        <v>1</v>
      </c>
      <c r="E21" s="20" t="str">
        <f aca="false">INDEX('Route Master'!$E$2:$E$69,MATCH(A21,'Route Master'!$A$2:$A$69,0))</f>
        <v>90</v>
      </c>
      <c r="F21" s="25" t="n">
        <f aca="false">INDEX('Route Master'!$H$2:$H$69,MATCH(A21,'Route Master'!$A$2:$A$69,0))</f>
        <v>11</v>
      </c>
      <c r="G21" s="20" t="n">
        <f aca="false">INDEX('Route Master'!$I$2:$I$69,MATCH(A21,'Route Master'!$A$2:$A$69,0))</f>
        <v>1</v>
      </c>
      <c r="H21" s="26" t="str">
        <f aca="false">IF(AND(B21=E21,C21=F21,D21=G21),"OK","CHECK")</f>
        <v>OK</v>
      </c>
    </row>
    <row r="22" customFormat="false" ht="15" hidden="false" customHeight="false" outlineLevel="0" collapsed="false">
      <c r="A22" s="20" t="s">
        <v>514</v>
      </c>
      <c r="B22" s="30" t="s">
        <v>725</v>
      </c>
      <c r="C22" s="31" t="n">
        <v>23</v>
      </c>
      <c r="D22" s="30" t="n">
        <v>2</v>
      </c>
      <c r="E22" s="20" t="str">
        <f aca="false">INDEX('Route Master'!$E$2:$E$69,MATCH(A22,'Route Master'!$A$2:$A$69,0))</f>
        <v>80</v>
      </c>
      <c r="F22" s="25" t="n">
        <f aca="false">INDEX('Route Master'!$H$2:$H$69,MATCH(A22,'Route Master'!$A$2:$A$69,0))</f>
        <v>23</v>
      </c>
      <c r="G22" s="20" t="n">
        <f aca="false">INDEX('Route Master'!$I$2:$I$69,MATCH(A22,'Route Master'!$A$2:$A$69,0))</f>
        <v>2</v>
      </c>
      <c r="H22" s="26" t="str">
        <f aca="false">IF(AND(B22=E22,C22=F22,D22=G22),"OK","CHECK")</f>
        <v>OK</v>
      </c>
    </row>
    <row r="23" customFormat="false" ht="15" hidden="false" customHeight="false" outlineLevel="0" collapsed="false">
      <c r="A23" s="20" t="s">
        <v>523</v>
      </c>
      <c r="B23" s="30" t="s">
        <v>615</v>
      </c>
      <c r="C23" s="31" t="n">
        <v>23</v>
      </c>
      <c r="D23" s="30" t="n">
        <v>5</v>
      </c>
      <c r="E23" s="20" t="str">
        <f aca="false">INDEX('Route Master'!$E$2:$E$69,MATCH(A23,'Route Master'!$A$2:$A$69,0))</f>
        <v>30</v>
      </c>
      <c r="F23" s="25" t="n">
        <f aca="false">INDEX('Route Master'!$H$2:$H$69,MATCH(A23,'Route Master'!$A$2:$A$69,0))</f>
        <v>23</v>
      </c>
      <c r="G23" s="20" t="n">
        <f aca="false">INDEX('Route Master'!$I$2:$I$69,MATCH(A23,'Route Master'!$A$2:$A$69,0))</f>
        <v>5</v>
      </c>
      <c r="H23" s="26" t="str">
        <f aca="false">IF(AND(B23=E23,C23=F23,D23=G23),"OK","CHECK")</f>
        <v>OK</v>
      </c>
    </row>
    <row r="24" customFormat="false" ht="15" hidden="false" customHeight="false" outlineLevel="0" collapsed="false">
      <c r="A24" s="20" t="s">
        <v>531</v>
      </c>
      <c r="B24" s="30" t="s">
        <v>588</v>
      </c>
      <c r="C24" s="31" t="n">
        <v>14</v>
      </c>
      <c r="D24" s="30" t="n">
        <v>5</v>
      </c>
      <c r="E24" s="20" t="str">
        <f aca="false">INDEX('Route Master'!$E$2:$E$69,MATCH(A24,'Route Master'!$A$2:$A$69,0))</f>
        <v>20</v>
      </c>
      <c r="F24" s="25" t="n">
        <f aca="false">INDEX('Route Master'!$H$2:$H$69,MATCH(A24,'Route Master'!$A$2:$A$69,0))</f>
        <v>14</v>
      </c>
      <c r="G24" s="20" t="n">
        <f aca="false">INDEX('Route Master'!$I$2:$I$69,MATCH(A24,'Route Master'!$A$2:$A$69,0))</f>
        <v>5</v>
      </c>
      <c r="H24" s="26" t="str">
        <f aca="false">IF(AND(B24=E24,C24=F24,D24=G24),"OK","CHECK")</f>
        <v>OK</v>
      </c>
    </row>
    <row r="25" customFormat="false" ht="15" hidden="false" customHeight="false" outlineLevel="0" collapsed="false">
      <c r="A25" s="20" t="s">
        <v>535</v>
      </c>
      <c r="B25" s="30" t="s">
        <v>899</v>
      </c>
      <c r="C25" s="31" t="n">
        <v>27.5</v>
      </c>
      <c r="D25" s="30" t="n">
        <v>3</v>
      </c>
      <c r="E25" s="20" t="str">
        <f aca="false">INDEX('Route Master'!$E$2:$E$69,MATCH(A25,'Route Master'!$A$2:$A$69,0))</f>
        <v>60</v>
      </c>
      <c r="F25" s="25" t="n">
        <f aca="false">INDEX('Route Master'!$H$2:$H$69,MATCH(A25,'Route Master'!$A$2:$A$69,0))</f>
        <v>27.5</v>
      </c>
      <c r="G25" s="20" t="n">
        <f aca="false">INDEX('Route Master'!$I$2:$I$69,MATCH(A25,'Route Master'!$A$2:$A$69,0))</f>
        <v>3</v>
      </c>
      <c r="H25" s="26" t="str">
        <f aca="false">IF(AND(B25=E25,C25=F25,D25=G25),"OK","CHECK")</f>
        <v>OK</v>
      </c>
    </row>
    <row r="26" customFormat="false" ht="15" hidden="false" customHeight="false" outlineLevel="0" collapsed="false">
      <c r="A26" s="20" t="s">
        <v>541</v>
      </c>
      <c r="B26" s="30" t="s">
        <v>880</v>
      </c>
      <c r="C26" s="31" t="n">
        <v>31</v>
      </c>
      <c r="D26" s="30" t="n">
        <v>10</v>
      </c>
      <c r="E26" s="20" t="str">
        <f aca="false">INDEX('Route Master'!$E$2:$E$69,MATCH(A26,'Route Master'!$A$2:$A$69,0))</f>
        <v>20-25</v>
      </c>
      <c r="F26" s="25" t="n">
        <f aca="false">INDEX('Route Master'!$H$2:$H$69,MATCH(A26,'Route Master'!$A$2:$A$69,0))</f>
        <v>31</v>
      </c>
      <c r="G26" s="20" t="n">
        <f aca="false">INDEX('Route Master'!$I$2:$I$69,MATCH(A26,'Route Master'!$A$2:$A$69,0))</f>
        <v>10</v>
      </c>
      <c r="H26" s="26" t="str">
        <f aca="false">IF(AND(B26=E26,C26=F26,D26=G26),"OK","CHECK")</f>
        <v>OK</v>
      </c>
    </row>
    <row r="27" customFormat="false" ht="15" hidden="false" customHeight="false" outlineLevel="0" collapsed="false">
      <c r="A27" s="20" t="s">
        <v>553</v>
      </c>
      <c r="B27" s="30" t="s">
        <v>902</v>
      </c>
      <c r="C27" s="31" t="n">
        <v>13</v>
      </c>
      <c r="D27" s="30" t="n">
        <v>2</v>
      </c>
      <c r="E27" s="20" t="str">
        <f aca="false">INDEX('Route Master'!$E$2:$E$69,MATCH(A27,'Route Master'!$A$2:$A$69,0))</f>
        <v>50</v>
      </c>
      <c r="F27" s="25" t="n">
        <f aca="false">INDEX('Route Master'!$H$2:$H$69,MATCH(A27,'Route Master'!$A$2:$A$69,0))</f>
        <v>13</v>
      </c>
      <c r="G27" s="20" t="n">
        <f aca="false">INDEX('Route Master'!$I$2:$I$69,MATCH(A27,'Route Master'!$A$2:$A$69,0))</f>
        <v>2</v>
      </c>
      <c r="H27" s="26" t="str">
        <f aca="false">IF(AND(B27=E27,C27=F27,D27=G27),"OK","CHECK")</f>
        <v>OK</v>
      </c>
    </row>
    <row r="28" customFormat="false" ht="15" hidden="false" customHeight="false" outlineLevel="0" collapsed="false">
      <c r="A28" s="20" t="s">
        <v>559</v>
      </c>
      <c r="B28" s="30" t="s">
        <v>904</v>
      </c>
      <c r="C28" s="31" t="n">
        <v>21</v>
      </c>
      <c r="D28" s="30" t="n">
        <v>2</v>
      </c>
      <c r="E28" s="20" t="str">
        <f aca="false">INDEX('Route Master'!$E$2:$E$69,MATCH(A28,'Route Master'!$A$2:$A$69,0))</f>
        <v>75</v>
      </c>
      <c r="F28" s="25" t="n">
        <f aca="false">INDEX('Route Master'!$H$2:$H$69,MATCH(A28,'Route Master'!$A$2:$A$69,0))</f>
        <v>21</v>
      </c>
      <c r="G28" s="20" t="n">
        <f aca="false">INDEX('Route Master'!$I$2:$I$69,MATCH(A28,'Route Master'!$A$2:$A$69,0))</f>
        <v>2</v>
      </c>
      <c r="H28" s="26" t="str">
        <f aca="false">IF(AND(B28=E28,C28=F28,D28=G28),"OK","CHECK")</f>
        <v>OK</v>
      </c>
    </row>
    <row r="29" customFormat="false" ht="15" hidden="false" customHeight="false" outlineLevel="0" collapsed="false">
      <c r="A29" s="20" t="s">
        <v>565</v>
      </c>
      <c r="B29" s="30" t="s">
        <v>906</v>
      </c>
      <c r="C29" s="31" t="n">
        <v>17.5</v>
      </c>
      <c r="D29" s="30" t="n">
        <v>8</v>
      </c>
      <c r="E29" s="20" t="str">
        <f aca="false">INDEX('Route Master'!$E$2:$E$69,MATCH(A29,'Route Master'!$A$2:$A$69,0))</f>
        <v>15-20</v>
      </c>
      <c r="F29" s="25" t="n">
        <f aca="false">INDEX('Route Master'!$H$2:$H$69,MATCH(A29,'Route Master'!$A$2:$A$69,0))</f>
        <v>17.5</v>
      </c>
      <c r="G29" s="20" t="n">
        <f aca="false">INDEX('Route Master'!$I$2:$I$69,MATCH(A29,'Route Master'!$A$2:$A$69,0))</f>
        <v>8</v>
      </c>
      <c r="H29" s="26" t="str">
        <f aca="false">IF(AND(B29=E29,C29=F29,D29=G29),"OK","CHECK")</f>
        <v>OK</v>
      </c>
    </row>
    <row r="30" customFormat="false" ht="15" hidden="false" customHeight="false" outlineLevel="0" collapsed="false">
      <c r="A30" s="20" t="s">
        <v>570</v>
      </c>
      <c r="B30" s="30" t="s">
        <v>899</v>
      </c>
      <c r="C30" s="31" t="n">
        <v>15</v>
      </c>
      <c r="D30" s="30" t="n">
        <v>2</v>
      </c>
      <c r="E30" s="20" t="str">
        <f aca="false">INDEX('Route Master'!$E$2:$E$69,MATCH(A30,'Route Master'!$A$2:$A$69,0))</f>
        <v>60</v>
      </c>
      <c r="F30" s="25" t="n">
        <f aca="false">INDEX('Route Master'!$H$2:$H$69,MATCH(A30,'Route Master'!$A$2:$A$69,0))</f>
        <v>15</v>
      </c>
      <c r="G30" s="20" t="n">
        <f aca="false">INDEX('Route Master'!$I$2:$I$69,MATCH(A30,'Route Master'!$A$2:$A$69,0))</f>
        <v>2</v>
      </c>
      <c r="H30" s="26" t="str">
        <f aca="false">IF(AND(B30=E30,C30=F30,D30=G30),"OK","CHECK")</f>
        <v>OK</v>
      </c>
    </row>
    <row r="31" customFormat="false" ht="15" hidden="false" customHeight="false" outlineLevel="0" collapsed="false">
      <c r="A31" s="20" t="s">
        <v>575</v>
      </c>
      <c r="B31" s="30" t="s">
        <v>588</v>
      </c>
      <c r="C31" s="31" t="n">
        <v>15.5</v>
      </c>
      <c r="D31" s="30" t="n">
        <v>6</v>
      </c>
      <c r="E31" s="20" t="str">
        <f aca="false">INDEX('Route Master'!$E$2:$E$69,MATCH(A31,'Route Master'!$A$2:$A$69,0))</f>
        <v>20</v>
      </c>
      <c r="F31" s="25" t="n">
        <f aca="false">INDEX('Route Master'!$H$2:$H$69,MATCH(A31,'Route Master'!$A$2:$A$69,0))</f>
        <v>15.5</v>
      </c>
      <c r="G31" s="20" t="n">
        <f aca="false">INDEX('Route Master'!$I$2:$I$69,MATCH(A31,'Route Master'!$A$2:$A$69,0))</f>
        <v>6</v>
      </c>
      <c r="H31" s="26" t="str">
        <f aca="false">IF(AND(B31=E31,C31=F31,D31=G31),"OK","CHECK")</f>
        <v>OK</v>
      </c>
    </row>
    <row r="32" customFormat="false" ht="15" hidden="false" customHeight="false" outlineLevel="0" collapsed="false">
      <c r="A32" s="20" t="s">
        <v>289</v>
      </c>
      <c r="B32" s="30" t="s">
        <v>615</v>
      </c>
      <c r="C32" s="31" t="n">
        <v>15.5</v>
      </c>
      <c r="D32" s="30" t="n">
        <v>4</v>
      </c>
      <c r="E32" s="20" t="str">
        <f aca="false">INDEX('Route Master'!$E$2:$E$69,MATCH(A32,'Route Master'!$A$2:$A$69,0))</f>
        <v>30</v>
      </c>
      <c r="F32" s="25" t="n">
        <f aca="false">INDEX('Route Master'!$H$2:$H$69,MATCH(A32,'Route Master'!$A$2:$A$69,0))</f>
        <v>15.5</v>
      </c>
      <c r="G32" s="20" t="n">
        <f aca="false">INDEX('Route Master'!$I$2:$I$69,MATCH(A32,'Route Master'!$A$2:$A$69,0))</f>
        <v>4</v>
      </c>
      <c r="H32" s="26" t="str">
        <f aca="false">IF(AND(B32=E32,C32=F32,D32=G32),"OK","CHECK")</f>
        <v>OK</v>
      </c>
    </row>
    <row r="33" customFormat="false" ht="15" hidden="false" customHeight="false" outlineLevel="0" collapsed="false">
      <c r="A33" s="20" t="s">
        <v>583</v>
      </c>
      <c r="B33" s="30" t="s">
        <v>899</v>
      </c>
      <c r="C33" s="31" t="n">
        <v>17</v>
      </c>
      <c r="D33" s="30" t="n">
        <v>2</v>
      </c>
      <c r="E33" s="20" t="str">
        <f aca="false">INDEX('Route Master'!$E$2:$E$69,MATCH(A33,'Route Master'!$A$2:$A$69,0))</f>
        <v>60</v>
      </c>
      <c r="F33" s="25" t="n">
        <f aca="false">INDEX('Route Master'!$H$2:$H$69,MATCH(A33,'Route Master'!$A$2:$A$69,0))</f>
        <v>17</v>
      </c>
      <c r="G33" s="20" t="n">
        <f aca="false">INDEX('Route Master'!$I$2:$I$69,MATCH(A33,'Route Master'!$A$2:$A$69,0))</f>
        <v>2</v>
      </c>
      <c r="H33" s="26" t="str">
        <f aca="false">IF(AND(B33=E33,C33=F33,D33=G33),"OK","CHECK")</f>
        <v>OK</v>
      </c>
    </row>
    <row r="34" customFormat="false" ht="15" hidden="false" customHeight="false" outlineLevel="0" collapsed="false">
      <c r="A34" s="20" t="s">
        <v>588</v>
      </c>
      <c r="B34" s="30" t="s">
        <v>886</v>
      </c>
      <c r="C34" s="31" t="n">
        <v>25.6</v>
      </c>
      <c r="D34" s="30" t="n">
        <v>9</v>
      </c>
      <c r="E34" s="20" t="str">
        <f aca="false">INDEX('Route Master'!$E$2:$E$69,MATCH(A34,'Route Master'!$A$2:$A$69,0))</f>
        <v>15-30</v>
      </c>
      <c r="F34" s="25" t="n">
        <f aca="false">INDEX('Route Master'!$H$2:$H$69,MATCH(A34,'Route Master'!$A$2:$A$69,0))</f>
        <v>25.6</v>
      </c>
      <c r="G34" s="20" t="n">
        <f aca="false">INDEX('Route Master'!$I$2:$I$69,MATCH(A34,'Route Master'!$A$2:$A$69,0))</f>
        <v>9</v>
      </c>
      <c r="H34" s="26" t="str">
        <f aca="false">IF(AND(B34=E34,C34=F34,D34=G34),"OK","CHECK")</f>
        <v>OK</v>
      </c>
    </row>
    <row r="35" customFormat="false" ht="15" hidden="false" customHeight="false" outlineLevel="0" collapsed="false">
      <c r="A35" s="20" t="s">
        <v>591</v>
      </c>
      <c r="B35" s="30" t="s">
        <v>899</v>
      </c>
      <c r="C35" s="31" t="n">
        <v>25.6</v>
      </c>
      <c r="D35" s="30" t="n">
        <v>3</v>
      </c>
      <c r="E35" s="20" t="str">
        <f aca="false">INDEX('Route Master'!$E$2:$E$69,MATCH(A35,'Route Master'!$A$2:$A$69,0))</f>
        <v>60</v>
      </c>
      <c r="F35" s="25" t="n">
        <f aca="false">INDEX('Route Master'!$H$2:$H$69,MATCH(A35,'Route Master'!$A$2:$A$69,0))</f>
        <v>25.6</v>
      </c>
      <c r="G35" s="20" t="n">
        <f aca="false">INDEX('Route Master'!$I$2:$I$69,MATCH(A35,'Route Master'!$A$2:$A$69,0))</f>
        <v>3</v>
      </c>
      <c r="H35" s="26" t="str">
        <f aca="false">IF(AND(B35=E35,C35=F35,D35=G35),"OK","CHECK")</f>
        <v>OK</v>
      </c>
    </row>
    <row r="36" customFormat="false" ht="15" hidden="false" customHeight="false" outlineLevel="0" collapsed="false">
      <c r="A36" s="20" t="s">
        <v>596</v>
      </c>
      <c r="B36" s="30" t="s">
        <v>588</v>
      </c>
      <c r="C36" s="31" t="n">
        <v>19.6</v>
      </c>
      <c r="D36" s="30" t="n">
        <v>7</v>
      </c>
      <c r="E36" s="20" t="str">
        <f aca="false">INDEX('Route Master'!$E$2:$E$69,MATCH(A36,'Route Master'!$A$2:$A$69,0))</f>
        <v>20</v>
      </c>
      <c r="F36" s="25" t="n">
        <f aca="false">INDEX('Route Master'!$H$2:$H$69,MATCH(A36,'Route Master'!$A$2:$A$69,0))</f>
        <v>19.6</v>
      </c>
      <c r="G36" s="20" t="n">
        <f aca="false">INDEX('Route Master'!$I$2:$I$69,MATCH(A36,'Route Master'!$A$2:$A$69,0))</f>
        <v>7</v>
      </c>
      <c r="H36" s="26" t="str">
        <f aca="false">IF(AND(B36=E36,C36=F36,D36=G36),"OK","CHECK")</f>
        <v>OK</v>
      </c>
    </row>
    <row r="37" customFormat="false" ht="15" hidden="false" customHeight="false" outlineLevel="0" collapsed="false">
      <c r="A37" s="20" t="s">
        <v>599</v>
      </c>
      <c r="B37" s="30" t="s">
        <v>588</v>
      </c>
      <c r="C37" s="31" t="n">
        <v>12.8</v>
      </c>
      <c r="D37" s="30" t="n">
        <v>6</v>
      </c>
      <c r="E37" s="20" t="str">
        <f aca="false">INDEX('Route Master'!$E$2:$E$69,MATCH(A37,'Route Master'!$A$2:$A$69,0))</f>
        <v>20</v>
      </c>
      <c r="F37" s="25" t="n">
        <f aca="false">INDEX('Route Master'!$H$2:$H$69,MATCH(A37,'Route Master'!$A$2:$A$69,0))</f>
        <v>12.8</v>
      </c>
      <c r="G37" s="20" t="n">
        <f aca="false">INDEX('Route Master'!$I$2:$I$69,MATCH(A37,'Route Master'!$A$2:$A$69,0))</f>
        <v>6</v>
      </c>
      <c r="H37" s="26" t="str">
        <f aca="false">IF(AND(B37=E37,C37=F37,D37=G37),"OK","CHECK")</f>
        <v>OK</v>
      </c>
    </row>
    <row r="38" customFormat="false" ht="15" hidden="false" customHeight="false" outlineLevel="0" collapsed="false">
      <c r="A38" s="20" t="s">
        <v>915</v>
      </c>
      <c r="B38" s="30" t="s">
        <v>725</v>
      </c>
      <c r="C38" s="31" t="n">
        <v>9.8</v>
      </c>
      <c r="D38" s="30" t="n">
        <v>1</v>
      </c>
      <c r="E38" s="20" t="str">
        <f aca="false">INDEX('Route Master'!$E$2:$E$69,MATCH(A38,'Route Master'!$A$2:$A$69,0))</f>
        <v>80</v>
      </c>
      <c r="F38" s="25" t="n">
        <f aca="false">INDEX('Route Master'!$H$2:$H$69,MATCH(A38,'Route Master'!$A$2:$A$69,0))</f>
        <v>9.8</v>
      </c>
      <c r="G38" s="20" t="n">
        <f aca="false">INDEX('Route Master'!$I$2:$I$69,MATCH(A38,'Route Master'!$A$2:$A$69,0))</f>
        <v>1</v>
      </c>
      <c r="H38" s="26" t="str">
        <f aca="false">IF(AND(B38=E38,C38=F38,D38=G38),"OK","CHECK")</f>
        <v>OK</v>
      </c>
    </row>
    <row r="39" customFormat="false" ht="15" hidden="false" customHeight="false" outlineLevel="0" collapsed="false">
      <c r="A39" s="20" t="s">
        <v>917</v>
      </c>
      <c r="B39" s="30" t="s">
        <v>424</v>
      </c>
      <c r="C39" s="31" t="n">
        <v>5.7</v>
      </c>
      <c r="D39" s="30" t="n">
        <v>1</v>
      </c>
      <c r="E39" s="20" t="str">
        <f aca="false">INDEX('Route Master'!$E$2:$E$69,MATCH(A39,'Route Master'!$A$2:$A$69,0))</f>
        <v>45</v>
      </c>
      <c r="F39" s="25" t="n">
        <f aca="false">INDEX('Route Master'!$H$2:$H$69,MATCH(A39,'Route Master'!$A$2:$A$69,0))</f>
        <v>5.7</v>
      </c>
      <c r="G39" s="20" t="n">
        <f aca="false">INDEX('Route Master'!$I$2:$I$69,MATCH(A39,'Route Master'!$A$2:$A$69,0))</f>
        <v>1</v>
      </c>
      <c r="H39" s="26" t="str">
        <f aca="false">IF(AND(B39=E39,C39=F39,D39=G39),"OK","CHECK")</f>
        <v>OK</v>
      </c>
    </row>
    <row r="40" customFormat="false" ht="15" hidden="false" customHeight="false" outlineLevel="0" collapsed="false">
      <c r="A40" s="20" t="s">
        <v>602</v>
      </c>
      <c r="B40" s="30" t="s">
        <v>647</v>
      </c>
      <c r="C40" s="31" t="n">
        <v>32</v>
      </c>
      <c r="D40" s="30" t="n">
        <v>6</v>
      </c>
      <c r="E40" s="20" t="str">
        <f aca="false">INDEX('Route Master'!$E$2:$E$69,MATCH(A40,'Route Master'!$A$2:$A$69,0))</f>
        <v>35</v>
      </c>
      <c r="F40" s="25" t="n">
        <f aca="false">INDEX('Route Master'!$H$2:$H$69,MATCH(A40,'Route Master'!$A$2:$A$69,0))</f>
        <v>32</v>
      </c>
      <c r="G40" s="20" t="n">
        <f aca="false">INDEX('Route Master'!$I$2:$I$69,MATCH(A40,'Route Master'!$A$2:$A$69,0))</f>
        <v>6</v>
      </c>
      <c r="H40" s="26" t="str">
        <f aca="false">IF(AND(B40=E40,C40=F40,D40=G40),"OK","CHECK")</f>
        <v>OK</v>
      </c>
    </row>
    <row r="41" customFormat="false" ht="15" hidden="false" customHeight="false" outlineLevel="0" collapsed="false">
      <c r="A41" s="20" t="s">
        <v>609</v>
      </c>
      <c r="B41" s="30" t="s">
        <v>615</v>
      </c>
      <c r="C41" s="31" t="n">
        <v>26</v>
      </c>
      <c r="D41" s="30" t="n">
        <v>6</v>
      </c>
      <c r="E41" s="20" t="str">
        <f aca="false">INDEX('Route Master'!$E$2:$E$69,MATCH(A41,'Route Master'!$A$2:$A$69,0))</f>
        <v>30</v>
      </c>
      <c r="F41" s="25" t="n">
        <f aca="false">INDEX('Route Master'!$H$2:$H$69,MATCH(A41,'Route Master'!$A$2:$A$69,0))</f>
        <v>26</v>
      </c>
      <c r="G41" s="20" t="n">
        <f aca="false">INDEX('Route Master'!$I$2:$I$69,MATCH(A41,'Route Master'!$A$2:$A$69,0))</f>
        <v>6</v>
      </c>
      <c r="H41" s="26" t="str">
        <f aca="false">IF(AND(B41=E41,C41=F41,D41=G41),"OK","CHECK")</f>
        <v>OK</v>
      </c>
    </row>
    <row r="42" customFormat="false" ht="15" hidden="false" customHeight="false" outlineLevel="0" collapsed="false">
      <c r="A42" s="20" t="s">
        <v>615</v>
      </c>
      <c r="B42" s="30" t="s">
        <v>922</v>
      </c>
      <c r="C42" s="31" t="n">
        <v>21.5</v>
      </c>
      <c r="D42" s="30" t="n">
        <v>6</v>
      </c>
      <c r="E42" s="20" t="str">
        <f aca="false">INDEX('Route Master'!$E$2:$E$69,MATCH(A42,'Route Master'!$A$2:$A$69,0))</f>
        <v>25-30</v>
      </c>
      <c r="F42" s="25" t="n">
        <f aca="false">INDEX('Route Master'!$H$2:$H$69,MATCH(A42,'Route Master'!$A$2:$A$69,0))</f>
        <v>21.5</v>
      </c>
      <c r="G42" s="20" t="n">
        <f aca="false">INDEX('Route Master'!$I$2:$I$69,MATCH(A42,'Route Master'!$A$2:$A$69,0))</f>
        <v>6</v>
      </c>
      <c r="H42" s="26" t="str">
        <f aca="false">IF(AND(B42=E42,C42=F42,D42=G42),"OK","CHECK")</f>
        <v>OK</v>
      </c>
    </row>
    <row r="43" customFormat="false" ht="15" hidden="false" customHeight="false" outlineLevel="0" collapsed="false">
      <c r="A43" s="20" t="s">
        <v>617</v>
      </c>
      <c r="B43" s="30" t="s">
        <v>883</v>
      </c>
      <c r="C43" s="31" t="n">
        <v>21.1</v>
      </c>
      <c r="D43" s="30" t="n">
        <v>6</v>
      </c>
      <c r="E43" s="20" t="str">
        <f aca="false">INDEX('Route Master'!$E$2:$E$69,MATCH(A43,'Route Master'!$A$2:$A$69,0))</f>
        <v>25</v>
      </c>
      <c r="F43" s="25" t="n">
        <f aca="false">INDEX('Route Master'!$H$2:$H$69,MATCH(A43,'Route Master'!$A$2:$A$69,0))</f>
        <v>21.1</v>
      </c>
      <c r="G43" s="20" t="n">
        <f aca="false">INDEX('Route Master'!$I$2:$I$69,MATCH(A43,'Route Master'!$A$2:$A$69,0))</f>
        <v>6</v>
      </c>
      <c r="H43" s="26" t="str">
        <f aca="false">IF(AND(B43=E43,C43=F43,D43=G43),"OK","CHECK")</f>
        <v>OK</v>
      </c>
    </row>
    <row r="44" customFormat="false" ht="15" hidden="false" customHeight="false" outlineLevel="0" collapsed="false">
      <c r="A44" s="20" t="s">
        <v>624</v>
      </c>
      <c r="B44" s="30" t="s">
        <v>883</v>
      </c>
      <c r="C44" s="31" t="n">
        <v>31</v>
      </c>
      <c r="D44" s="30" t="n">
        <v>8</v>
      </c>
      <c r="E44" s="20" t="str">
        <f aca="false">INDEX('Route Master'!$E$2:$E$69,MATCH(A44,'Route Master'!$A$2:$A$69,0))</f>
        <v>25</v>
      </c>
      <c r="F44" s="25" t="n">
        <f aca="false">INDEX('Route Master'!$H$2:$H$69,MATCH(A44,'Route Master'!$A$2:$A$69,0))</f>
        <v>31</v>
      </c>
      <c r="G44" s="20" t="n">
        <f aca="false">INDEX('Route Master'!$I$2:$I$69,MATCH(A44,'Route Master'!$A$2:$A$69,0))</f>
        <v>8</v>
      </c>
      <c r="H44" s="26" t="str">
        <f aca="false">IF(AND(B44=E44,C44=F44,D44=G44),"OK","CHECK")</f>
        <v>OK</v>
      </c>
    </row>
    <row r="45" customFormat="false" ht="15" hidden="false" customHeight="false" outlineLevel="0" collapsed="false">
      <c r="A45" s="20" t="s">
        <v>628</v>
      </c>
      <c r="B45" s="30" t="s">
        <v>886</v>
      </c>
      <c r="C45" s="31" t="n">
        <v>37.7</v>
      </c>
      <c r="D45" s="30" t="n">
        <v>14</v>
      </c>
      <c r="E45" s="20" t="str">
        <f aca="false">INDEX('Route Master'!$E$2:$E$69,MATCH(A45,'Route Master'!$A$2:$A$69,0))</f>
        <v>15-30</v>
      </c>
      <c r="F45" s="25" t="n">
        <f aca="false">INDEX('Route Master'!$H$2:$H$69,MATCH(A45,'Route Master'!$A$2:$A$69,0))</f>
        <v>37.7</v>
      </c>
      <c r="G45" s="20" t="n">
        <f aca="false">INDEX('Route Master'!$I$2:$I$69,MATCH(A45,'Route Master'!$A$2:$A$69,0))</f>
        <v>14</v>
      </c>
      <c r="H45" s="26" t="str">
        <f aca="false">IF(AND(B45=E45,C45=F45,D45=G45),"OK","CHECK")</f>
        <v>OK</v>
      </c>
    </row>
    <row r="46" customFormat="false" ht="15" hidden="false" customHeight="false" outlineLevel="0" collapsed="false">
      <c r="A46" s="20" t="s">
        <v>635</v>
      </c>
      <c r="B46" s="30" t="s">
        <v>588</v>
      </c>
      <c r="C46" s="31" t="n">
        <v>31</v>
      </c>
      <c r="D46" s="30" t="n">
        <v>10</v>
      </c>
      <c r="E46" s="20" t="str">
        <f aca="false">INDEX('Route Master'!$E$2:$E$69,MATCH(A46,'Route Master'!$A$2:$A$69,0))</f>
        <v>20</v>
      </c>
      <c r="F46" s="25" t="n">
        <f aca="false">INDEX('Route Master'!$H$2:$H$69,MATCH(A46,'Route Master'!$A$2:$A$69,0))</f>
        <v>31</v>
      </c>
      <c r="G46" s="20" t="n">
        <f aca="false">INDEX('Route Master'!$I$2:$I$69,MATCH(A46,'Route Master'!$A$2:$A$69,0))</f>
        <v>10</v>
      </c>
      <c r="H46" s="26" t="str">
        <f aca="false">IF(AND(B46=E46,C46=F46,D46=G46),"OK","CHECK")</f>
        <v>OK</v>
      </c>
    </row>
    <row r="47" customFormat="false" ht="15" hidden="false" customHeight="false" outlineLevel="0" collapsed="false">
      <c r="A47" s="20" t="s">
        <v>927</v>
      </c>
      <c r="B47" s="30" t="s">
        <v>588</v>
      </c>
      <c r="C47" s="31" t="n">
        <v>28</v>
      </c>
      <c r="D47" s="30" t="n">
        <v>9</v>
      </c>
      <c r="E47" s="20" t="str">
        <f aca="false">INDEX('Route Master'!$E$2:$E$69,MATCH(A47,'Route Master'!$A$2:$A$69,0))</f>
        <v>20</v>
      </c>
      <c r="F47" s="25" t="n">
        <f aca="false">INDEX('Route Master'!$H$2:$H$69,MATCH(A47,'Route Master'!$A$2:$A$69,0))</f>
        <v>28</v>
      </c>
      <c r="G47" s="20" t="n">
        <f aca="false">INDEX('Route Master'!$I$2:$I$69,MATCH(A47,'Route Master'!$A$2:$A$69,0))</f>
        <v>9</v>
      </c>
      <c r="H47" s="26" t="str">
        <f aca="false">IF(AND(B47=E47,C47=F47,D47=G47),"OK","CHECK")</f>
        <v>OK</v>
      </c>
    </row>
    <row r="48" customFormat="false" ht="15" hidden="false" customHeight="false" outlineLevel="0" collapsed="false">
      <c r="A48" s="20" t="s">
        <v>647</v>
      </c>
      <c r="B48" s="30" t="s">
        <v>588</v>
      </c>
      <c r="C48" s="31" t="n">
        <v>18.3</v>
      </c>
      <c r="D48" s="30" t="n">
        <v>7</v>
      </c>
      <c r="E48" s="20" t="str">
        <f aca="false">INDEX('Route Master'!$E$2:$E$69,MATCH(A48,'Route Master'!$A$2:$A$69,0))</f>
        <v>20</v>
      </c>
      <c r="F48" s="25" t="n">
        <f aca="false">INDEX('Route Master'!$H$2:$H$69,MATCH(A48,'Route Master'!$A$2:$A$69,0))</f>
        <v>18.3</v>
      </c>
      <c r="G48" s="20" t="n">
        <f aca="false">INDEX('Route Master'!$I$2:$I$69,MATCH(A48,'Route Master'!$A$2:$A$69,0))</f>
        <v>7</v>
      </c>
      <c r="H48" s="26" t="str">
        <f aca="false">IF(AND(B48=E48,C48=F48,D48=G48),"OK","CHECK")</f>
        <v>OK</v>
      </c>
    </row>
    <row r="49" customFormat="false" ht="15" hidden="false" customHeight="false" outlineLevel="0" collapsed="false">
      <c r="A49" s="20" t="s">
        <v>650</v>
      </c>
      <c r="B49" s="30" t="s">
        <v>428</v>
      </c>
      <c r="C49" s="31" t="n">
        <v>23</v>
      </c>
      <c r="D49" s="30" t="n">
        <v>4</v>
      </c>
      <c r="E49" s="20" t="str">
        <f aca="false">INDEX('Route Master'!$E$2:$E$69,MATCH(A49,'Route Master'!$A$2:$A$69,0))</f>
        <v>40</v>
      </c>
      <c r="F49" s="25" t="n">
        <f aca="false">INDEX('Route Master'!$H$2:$H$69,MATCH(A49,'Route Master'!$A$2:$A$69,0))</f>
        <v>23</v>
      </c>
      <c r="G49" s="20" t="n">
        <f aca="false">INDEX('Route Master'!$I$2:$I$69,MATCH(A49,'Route Master'!$A$2:$A$69,0))</f>
        <v>4</v>
      </c>
      <c r="H49" s="26" t="str">
        <f aca="false">IF(AND(B49=E49,C49=F49,D49=G49),"OK","CHECK")</f>
        <v>OK</v>
      </c>
    </row>
    <row r="50" customFormat="false" ht="15" hidden="false" customHeight="false" outlineLevel="0" collapsed="false">
      <c r="A50" s="20" t="s">
        <v>656</v>
      </c>
      <c r="B50" s="30" t="s">
        <v>588</v>
      </c>
      <c r="C50" s="31" t="n">
        <v>19.2</v>
      </c>
      <c r="D50" s="30" t="n">
        <v>7</v>
      </c>
      <c r="E50" s="20" t="str">
        <f aca="false">INDEX('Route Master'!$E$2:$E$69,MATCH(A50,'Route Master'!$A$2:$A$69,0))</f>
        <v>20</v>
      </c>
      <c r="F50" s="25" t="n">
        <f aca="false">INDEX('Route Master'!$H$2:$H$69,MATCH(A50,'Route Master'!$A$2:$A$69,0))</f>
        <v>19.2</v>
      </c>
      <c r="G50" s="20" t="n">
        <f aca="false">INDEX('Route Master'!$I$2:$I$69,MATCH(A50,'Route Master'!$A$2:$A$69,0))</f>
        <v>7</v>
      </c>
      <c r="H50" s="26" t="str">
        <f aca="false">IF(AND(B50=E50,C50=F50,D50=G50),"OK","CHECK")</f>
        <v>OK</v>
      </c>
    </row>
    <row r="51" customFormat="false" ht="15" hidden="false" customHeight="false" outlineLevel="0" collapsed="false">
      <c r="A51" s="20" t="s">
        <v>659</v>
      </c>
      <c r="B51" s="30" t="s">
        <v>902</v>
      </c>
      <c r="C51" s="31" t="n">
        <v>32</v>
      </c>
      <c r="D51" s="30" t="n">
        <v>2</v>
      </c>
      <c r="E51" s="20" t="str">
        <f aca="false">INDEX('Route Master'!$E$2:$E$69,MATCH(A51,'Route Master'!$A$2:$A$69,0))</f>
        <v>50</v>
      </c>
      <c r="F51" s="25" t="n">
        <f aca="false">INDEX('Route Master'!$H$2:$H$69,MATCH(A51,'Route Master'!$A$2:$A$69,0))</f>
        <v>32</v>
      </c>
      <c r="G51" s="20" t="n">
        <f aca="false">INDEX('Route Master'!$I$2:$I$69,MATCH(A51,'Route Master'!$A$2:$A$69,0))</f>
        <v>2</v>
      </c>
      <c r="H51" s="26" t="str">
        <f aca="false">IF(AND(B51=E51,C51=F51,D51=G51),"OK","CHECK")</f>
        <v>OK</v>
      </c>
    </row>
    <row r="52" customFormat="false" ht="15" hidden="false" customHeight="false" outlineLevel="0" collapsed="false">
      <c r="A52" s="20" t="s">
        <v>665</v>
      </c>
      <c r="B52" s="30" t="s">
        <v>428</v>
      </c>
      <c r="C52" s="31" t="n">
        <v>32</v>
      </c>
      <c r="D52" s="30" t="n">
        <v>5</v>
      </c>
      <c r="E52" s="20" t="str">
        <f aca="false">INDEX('Route Master'!$E$2:$E$69,MATCH(A52,'Route Master'!$A$2:$A$69,0))</f>
        <v>40</v>
      </c>
      <c r="F52" s="25" t="n">
        <f aca="false">INDEX('Route Master'!$H$2:$H$69,MATCH(A52,'Route Master'!$A$2:$A$69,0))</f>
        <v>32</v>
      </c>
      <c r="G52" s="20" t="n">
        <f aca="false">INDEX('Route Master'!$I$2:$I$69,MATCH(A52,'Route Master'!$A$2:$A$69,0))</f>
        <v>5</v>
      </c>
      <c r="H52" s="26" t="str">
        <f aca="false">IF(AND(B52=E52,C52=F52,D52=G52),"OK","CHECK")</f>
        <v>OK</v>
      </c>
    </row>
    <row r="53" customFormat="false" ht="15" hidden="false" customHeight="false" outlineLevel="0" collapsed="false">
      <c r="A53" s="20" t="s">
        <v>693</v>
      </c>
      <c r="B53" s="30" t="s">
        <v>588</v>
      </c>
      <c r="C53" s="31" t="n">
        <v>27.5</v>
      </c>
      <c r="D53" s="30" t="n">
        <v>9</v>
      </c>
      <c r="E53" s="20" t="str">
        <f aca="false">INDEX('Route Master'!$E$2:$E$69,MATCH(A53,'Route Master'!$A$2:$A$69,0))</f>
        <v>20</v>
      </c>
      <c r="F53" s="25" t="n">
        <f aca="false">INDEX('Route Master'!$H$2:$H$69,MATCH(A53,'Route Master'!$A$2:$A$69,0))</f>
        <v>27.5</v>
      </c>
      <c r="G53" s="20" t="n">
        <f aca="false">INDEX('Route Master'!$I$2:$I$69,MATCH(A53,'Route Master'!$A$2:$A$69,0))</f>
        <v>9</v>
      </c>
      <c r="H53" s="26" t="str">
        <f aca="false">IF(AND(B53=E53,C53=F53,D53=G53),"OK","CHECK")</f>
        <v>OK</v>
      </c>
    </row>
    <row r="54" customFormat="false" ht="15" hidden="false" customHeight="false" outlineLevel="0" collapsed="false">
      <c r="A54" s="20" t="s">
        <v>428</v>
      </c>
      <c r="B54" s="30" t="s">
        <v>899</v>
      </c>
      <c r="C54" s="31" t="n">
        <v>30.8</v>
      </c>
      <c r="D54" s="30" t="n">
        <v>3</v>
      </c>
      <c r="E54" s="20" t="str">
        <f aca="false">INDEX('Route Master'!$E$2:$E$69,MATCH(A54,'Route Master'!$A$2:$A$69,0))</f>
        <v>60</v>
      </c>
      <c r="F54" s="25" t="n">
        <f aca="false">INDEX('Route Master'!$H$2:$H$69,MATCH(A54,'Route Master'!$A$2:$A$69,0))</f>
        <v>30.8</v>
      </c>
      <c r="G54" s="20" t="n">
        <f aca="false">INDEX('Route Master'!$I$2:$I$69,MATCH(A54,'Route Master'!$A$2:$A$69,0))</f>
        <v>3</v>
      </c>
      <c r="H54" s="26" t="str">
        <f aca="false">IF(AND(B54=E54,C54=F54,D54=G54),"OK","CHECK")</f>
        <v>OK</v>
      </c>
    </row>
    <row r="55" customFormat="false" ht="15" hidden="false" customHeight="false" outlineLevel="0" collapsed="false">
      <c r="A55" s="20" t="s">
        <v>712</v>
      </c>
      <c r="B55" s="30" t="s">
        <v>615</v>
      </c>
      <c r="C55" s="31" t="n">
        <v>24</v>
      </c>
      <c r="D55" s="30" t="n">
        <v>6</v>
      </c>
      <c r="E55" s="20" t="str">
        <f aca="false">INDEX('Route Master'!$E$2:$E$69,MATCH(A55,'Route Master'!$A$2:$A$69,0))</f>
        <v>30</v>
      </c>
      <c r="F55" s="25" t="n">
        <f aca="false">INDEX('Route Master'!$H$2:$H$69,MATCH(A55,'Route Master'!$A$2:$A$69,0))</f>
        <v>24</v>
      </c>
      <c r="G55" s="20" t="n">
        <f aca="false">INDEX('Route Master'!$I$2:$I$69,MATCH(A55,'Route Master'!$A$2:$A$69,0))</f>
        <v>6</v>
      </c>
      <c r="H55" s="26" t="str">
        <f aca="false">IF(AND(B55=E55,C55=F55,D55=G55),"OK","CHECK")</f>
        <v>OK</v>
      </c>
    </row>
    <row r="56" customFormat="false" ht="15" hidden="false" customHeight="false" outlineLevel="0" collapsed="false">
      <c r="A56" s="20" t="s">
        <v>720</v>
      </c>
      <c r="B56" s="30" t="s">
        <v>424</v>
      </c>
      <c r="C56" s="31" t="n">
        <v>27.9</v>
      </c>
      <c r="D56" s="30" t="n">
        <v>4</v>
      </c>
      <c r="E56" s="20" t="str">
        <f aca="false">INDEX('Route Master'!$E$2:$E$69,MATCH(A56,'Route Master'!$A$2:$A$69,0))</f>
        <v>45</v>
      </c>
      <c r="F56" s="25" t="n">
        <f aca="false">INDEX('Route Master'!$H$2:$H$69,MATCH(A56,'Route Master'!$A$2:$A$69,0))</f>
        <v>27.9</v>
      </c>
      <c r="G56" s="20" t="n">
        <f aca="false">INDEX('Route Master'!$I$2:$I$69,MATCH(A56,'Route Master'!$A$2:$A$69,0))</f>
        <v>4</v>
      </c>
      <c r="H56" s="26" t="str">
        <f aca="false">IF(AND(B56=E56,C56=F56,D56=G56),"OK","CHECK")</f>
        <v>OK</v>
      </c>
    </row>
    <row r="57" customFormat="false" ht="15" hidden="false" customHeight="false" outlineLevel="0" collapsed="false">
      <c r="A57" s="20" t="s">
        <v>725</v>
      </c>
      <c r="B57" s="30" t="s">
        <v>615</v>
      </c>
      <c r="C57" s="31" t="n">
        <v>20</v>
      </c>
      <c r="D57" s="30" t="n">
        <v>5</v>
      </c>
      <c r="E57" s="20" t="str">
        <f aca="false">INDEX('Route Master'!$E$2:$E$69,MATCH(A57,'Route Master'!$A$2:$A$69,0))</f>
        <v>30</v>
      </c>
      <c r="F57" s="25" t="n">
        <f aca="false">INDEX('Route Master'!$H$2:$H$69,MATCH(A57,'Route Master'!$A$2:$A$69,0))</f>
        <v>20</v>
      </c>
      <c r="G57" s="20" t="n">
        <f aca="false">INDEX('Route Master'!$I$2:$I$69,MATCH(A57,'Route Master'!$A$2:$A$69,0))</f>
        <v>5</v>
      </c>
      <c r="H57" s="26" t="str">
        <f aca="false">IF(AND(B57=E57,C57=F57,D57=G57),"OK","CHECK")</f>
        <v>OK</v>
      </c>
    </row>
    <row r="58" customFormat="false" ht="15" hidden="false" customHeight="false" outlineLevel="0" collapsed="false">
      <c r="A58" s="20" t="s">
        <v>729</v>
      </c>
      <c r="B58" s="30" t="s">
        <v>615</v>
      </c>
      <c r="C58" s="31" t="n">
        <v>19.5</v>
      </c>
      <c r="D58" s="30" t="n">
        <v>5</v>
      </c>
      <c r="E58" s="20" t="str">
        <f aca="false">INDEX('Route Master'!$E$2:$E$69,MATCH(A58,'Route Master'!$A$2:$A$69,0))</f>
        <v>30</v>
      </c>
      <c r="F58" s="25" t="n">
        <f aca="false">INDEX('Route Master'!$H$2:$H$69,MATCH(A58,'Route Master'!$A$2:$A$69,0))</f>
        <v>19.5</v>
      </c>
      <c r="G58" s="20" t="n">
        <f aca="false">INDEX('Route Master'!$I$2:$I$69,MATCH(A58,'Route Master'!$A$2:$A$69,0))</f>
        <v>5</v>
      </c>
      <c r="H58" s="26" t="str">
        <f aca="false">IF(AND(B58=E58,C58=F58,D58=G58),"OK","CHECK")</f>
        <v>OK</v>
      </c>
    </row>
    <row r="59" customFormat="false" ht="15" hidden="false" customHeight="false" outlineLevel="0" collapsed="false">
      <c r="A59" s="20" t="s">
        <v>731</v>
      </c>
      <c r="B59" s="30" t="s">
        <v>725</v>
      </c>
      <c r="C59" s="31" t="n">
        <v>24</v>
      </c>
      <c r="D59" s="30" t="n">
        <v>2</v>
      </c>
      <c r="E59" s="20" t="str">
        <f aca="false">INDEX('Route Master'!$E$2:$E$69,MATCH(A59,'Route Master'!$A$2:$A$69,0))</f>
        <v>80</v>
      </c>
      <c r="F59" s="25" t="n">
        <f aca="false">INDEX('Route Master'!$H$2:$H$69,MATCH(A59,'Route Master'!$A$2:$A$69,0))</f>
        <v>24</v>
      </c>
      <c r="G59" s="20" t="n">
        <f aca="false">INDEX('Route Master'!$I$2:$I$69,MATCH(A59,'Route Master'!$A$2:$A$69,0))</f>
        <v>2</v>
      </c>
      <c r="H59" s="26" t="str">
        <f aca="false">IF(AND(B59=E59,C59=F59,D59=G59),"OK","CHECK")</f>
        <v>OK</v>
      </c>
    </row>
    <row r="60" customFormat="false" ht="15" hidden="false" customHeight="false" outlineLevel="0" collapsed="false">
      <c r="A60" s="20" t="s">
        <v>738</v>
      </c>
      <c r="B60" s="30" t="s">
        <v>615</v>
      </c>
      <c r="C60" s="31" t="n">
        <v>19.8</v>
      </c>
      <c r="D60" s="30" t="n">
        <v>5</v>
      </c>
      <c r="E60" s="20" t="str">
        <f aca="false">INDEX('Route Master'!$E$2:$E$69,MATCH(A60,'Route Master'!$A$2:$A$69,0))</f>
        <v>30</v>
      </c>
      <c r="F60" s="25" t="n">
        <f aca="false">INDEX('Route Master'!$H$2:$H$69,MATCH(A60,'Route Master'!$A$2:$A$69,0))</f>
        <v>19.8</v>
      </c>
      <c r="G60" s="20" t="n">
        <f aca="false">INDEX('Route Master'!$I$2:$I$69,MATCH(A60,'Route Master'!$A$2:$A$69,0))</f>
        <v>5</v>
      </c>
      <c r="H60" s="26" t="str">
        <f aca="false">IF(AND(B60=E60,C60=F60,D60=G60),"OK","CHECK")</f>
        <v>OK</v>
      </c>
    </row>
    <row r="61" customFormat="false" ht="15" hidden="false" customHeight="false" outlineLevel="0" collapsed="false">
      <c r="A61" s="20" t="s">
        <v>743</v>
      </c>
      <c r="B61" s="30" t="s">
        <v>943</v>
      </c>
      <c r="C61" s="31" t="n">
        <v>13</v>
      </c>
      <c r="D61" s="30" t="n">
        <v>6</v>
      </c>
      <c r="E61" s="20" t="str">
        <f aca="false">INDEX('Route Master'!$E$2:$E$69,MATCH(A61,'Route Master'!$A$2:$A$69,0))</f>
        <v>15</v>
      </c>
      <c r="F61" s="25" t="n">
        <f aca="false">INDEX('Route Master'!$H$2:$H$69,MATCH(A61,'Route Master'!$A$2:$A$69,0))</f>
        <v>13</v>
      </c>
      <c r="G61" s="20" t="n">
        <f aca="false">INDEX('Route Master'!$I$2:$I$69,MATCH(A61,'Route Master'!$A$2:$A$69,0))</f>
        <v>6</v>
      </c>
      <c r="H61" s="26" t="str">
        <f aca="false">IF(AND(B61=E61,C61=F61,D61=G61),"OK","CHECK")</f>
        <v>OK</v>
      </c>
    </row>
    <row r="62" customFormat="false" ht="15" hidden="false" customHeight="false" outlineLevel="0" collapsed="false">
      <c r="A62" s="20" t="s">
        <v>748</v>
      </c>
      <c r="B62" s="30" t="s">
        <v>565</v>
      </c>
      <c r="C62" s="31" t="n">
        <v>11</v>
      </c>
      <c r="D62" s="30" t="n">
        <v>9</v>
      </c>
      <c r="E62" s="20" t="str">
        <f aca="false">INDEX('Route Master'!$E$2:$E$69,MATCH(A62,'Route Master'!$A$2:$A$69,0))</f>
        <v>10</v>
      </c>
      <c r="F62" s="25" t="n">
        <f aca="false">INDEX('Route Master'!$H$2:$H$69,MATCH(A62,'Route Master'!$A$2:$A$69,0))</f>
        <v>11</v>
      </c>
      <c r="G62" s="20" t="n">
        <f aca="false">INDEX('Route Master'!$I$2:$I$69,MATCH(A62,'Route Master'!$A$2:$A$69,0))</f>
        <v>9</v>
      </c>
      <c r="H62" s="26" t="str">
        <f aca="false">IF(AND(B62=E62,C62=F62,D62=G62),"OK","CHECK")</f>
        <v>OK</v>
      </c>
    </row>
    <row r="63" customFormat="false" ht="15" hidden="false" customHeight="false" outlineLevel="0" collapsed="false">
      <c r="A63" s="20" t="s">
        <v>755</v>
      </c>
      <c r="B63" s="30" t="s">
        <v>946</v>
      </c>
      <c r="C63" s="31" t="n">
        <v>18.1</v>
      </c>
      <c r="D63" s="30" t="n">
        <v>10</v>
      </c>
      <c r="E63" s="20" t="str">
        <f aca="false">INDEX('Route Master'!$E$2:$E$69,MATCH(A63,'Route Master'!$A$2:$A$69,0))</f>
        <v>10-15</v>
      </c>
      <c r="F63" s="25" t="n">
        <f aca="false">INDEX('Route Master'!$H$2:$H$69,MATCH(A63,'Route Master'!$A$2:$A$69,0))</f>
        <v>18.1</v>
      </c>
      <c r="G63" s="20" t="n">
        <f aca="false">INDEX('Route Master'!$I$2:$I$69,MATCH(A63,'Route Master'!$A$2:$A$69,0))</f>
        <v>10</v>
      </c>
      <c r="H63" s="26" t="str">
        <f aca="false">IF(AND(B63=E63,C63=F63,D63=G63),"OK","CHECK")</f>
        <v>OK</v>
      </c>
    </row>
    <row r="64" customFormat="false" ht="15" hidden="false" customHeight="false" outlineLevel="0" collapsed="false">
      <c r="A64" s="20" t="s">
        <v>757</v>
      </c>
      <c r="B64" s="30" t="s">
        <v>588</v>
      </c>
      <c r="C64" s="31" t="n">
        <v>26.5</v>
      </c>
      <c r="D64" s="30" t="n">
        <v>8</v>
      </c>
      <c r="E64" s="20" t="str">
        <f aca="false">INDEX('Route Master'!$E$2:$E$69,MATCH(A64,'Route Master'!$A$2:$A$69,0))</f>
        <v>20</v>
      </c>
      <c r="F64" s="25" t="n">
        <f aca="false">INDEX('Route Master'!$H$2:$H$69,MATCH(A64,'Route Master'!$A$2:$A$69,0))</f>
        <v>26.5</v>
      </c>
      <c r="G64" s="20" t="n">
        <f aca="false">INDEX('Route Master'!$I$2:$I$69,MATCH(A64,'Route Master'!$A$2:$A$69,0))</f>
        <v>8</v>
      </c>
      <c r="H64" s="26" t="str">
        <f aca="false">IF(AND(B64=E64,C64=F64,D64=G64),"OK","CHECK")</f>
        <v>OK</v>
      </c>
    </row>
    <row r="65" customFormat="false" ht="15" hidden="false" customHeight="false" outlineLevel="0" collapsed="false">
      <c r="A65" s="20" t="s">
        <v>759</v>
      </c>
      <c r="B65" s="30" t="s">
        <v>949</v>
      </c>
      <c r="C65" s="31" t="n">
        <v>34</v>
      </c>
      <c r="D65" s="30" t="n">
        <v>4</v>
      </c>
      <c r="E65" s="20" t="str">
        <f aca="false">INDEX('Route Master'!$E$2:$E$69,MATCH(A65,'Route Master'!$A$2:$A$69,0))</f>
        <v>50-55</v>
      </c>
      <c r="F65" s="25" t="n">
        <f aca="false">INDEX('Route Master'!$H$2:$H$69,MATCH(A65,'Route Master'!$A$2:$A$69,0))</f>
        <v>34</v>
      </c>
      <c r="G65" s="20" t="n">
        <f aca="false">INDEX('Route Master'!$I$2:$I$69,MATCH(A65,'Route Master'!$A$2:$A$69,0))</f>
        <v>4</v>
      </c>
      <c r="H65" s="26" t="str">
        <f aca="false">IF(AND(B65=E65,C65=F65,D65=G65),"OK","CHECK")</f>
        <v>OK</v>
      </c>
    </row>
    <row r="66" customFormat="false" ht="15" hidden="false" customHeight="false" outlineLevel="0" collapsed="false">
      <c r="A66" s="20" t="s">
        <v>770</v>
      </c>
      <c r="B66" s="30" t="s">
        <v>647</v>
      </c>
      <c r="C66" s="31" t="n">
        <v>31</v>
      </c>
      <c r="D66" s="30" t="n">
        <v>6</v>
      </c>
      <c r="E66" s="20" t="str">
        <f aca="false">INDEX('Route Master'!$E$2:$E$69,MATCH(A66,'Route Master'!$A$2:$A$69,0))</f>
        <v>35</v>
      </c>
      <c r="F66" s="25" t="n">
        <f aca="false">INDEX('Route Master'!$H$2:$H$69,MATCH(A66,'Route Master'!$A$2:$A$69,0))</f>
        <v>31</v>
      </c>
      <c r="G66" s="20" t="n">
        <f aca="false">INDEX('Route Master'!$I$2:$I$69,MATCH(A66,'Route Master'!$A$2:$A$69,0))</f>
        <v>6</v>
      </c>
      <c r="H66" s="26" t="str">
        <f aca="false">IF(AND(B66=E66,C66=F66,D66=G66),"OK","CHECK")</f>
        <v>OK</v>
      </c>
    </row>
    <row r="67" customFormat="false" ht="15" hidden="false" customHeight="false" outlineLevel="0" collapsed="false">
      <c r="A67" s="20" t="s">
        <v>779</v>
      </c>
      <c r="B67" s="30" t="s">
        <v>615</v>
      </c>
      <c r="C67" s="31" t="n">
        <v>27.6</v>
      </c>
      <c r="D67" s="30" t="n">
        <v>6</v>
      </c>
      <c r="E67" s="20" t="str">
        <f aca="false">INDEX('Route Master'!$E$2:$E$69,MATCH(A67,'Route Master'!$A$2:$A$69,0))</f>
        <v>30</v>
      </c>
      <c r="F67" s="25" t="n">
        <f aca="false">INDEX('Route Master'!$H$2:$H$69,MATCH(A67,'Route Master'!$A$2:$A$69,0))</f>
        <v>27.6</v>
      </c>
      <c r="G67" s="20" t="n">
        <f aca="false">INDEX('Route Master'!$I$2:$I$69,MATCH(A67,'Route Master'!$A$2:$A$69,0))</f>
        <v>6</v>
      </c>
      <c r="H67" s="26" t="str">
        <f aca="false">IF(AND(B67=E67,C67=F67,D67=G67),"OK","CHECK")</f>
        <v>OK</v>
      </c>
    </row>
    <row r="68" customFormat="false" ht="15" hidden="false" customHeight="false" outlineLevel="0" collapsed="false">
      <c r="A68" s="20" t="s">
        <v>784</v>
      </c>
      <c r="B68" s="30" t="s">
        <v>883</v>
      </c>
      <c r="C68" s="31" t="n">
        <v>20.4</v>
      </c>
      <c r="D68" s="30" t="n">
        <v>6</v>
      </c>
      <c r="E68" s="20" t="str">
        <f aca="false">INDEX('Route Master'!$E$2:$E$69,MATCH(A68,'Route Master'!$A$2:$A$69,0))</f>
        <v>25</v>
      </c>
      <c r="F68" s="25" t="n">
        <f aca="false">INDEX('Route Master'!$H$2:$H$69,MATCH(A68,'Route Master'!$A$2:$A$69,0))</f>
        <v>20.4</v>
      </c>
      <c r="G68" s="20" t="n">
        <f aca="false">INDEX('Route Master'!$I$2:$I$69,MATCH(A68,'Route Master'!$A$2:$A$69,0))</f>
        <v>6</v>
      </c>
      <c r="H68" s="26" t="str">
        <f aca="false">IF(AND(B68=E68,C68=F68,D68=G68),"OK","CHECK")</f>
        <v>OK</v>
      </c>
    </row>
    <row r="69" customFormat="false" ht="15" hidden="false" customHeight="false" outlineLevel="0" collapsed="false">
      <c r="A69" s="20" t="s">
        <v>788</v>
      </c>
      <c r="B69" s="30" t="s">
        <v>588</v>
      </c>
      <c r="C69" s="31" t="n">
        <v>26</v>
      </c>
      <c r="D69" s="30" t="n">
        <v>8</v>
      </c>
      <c r="E69" s="20" t="str">
        <f aca="false">INDEX('Route Master'!$E$2:$E$69,MATCH(A69,'Route Master'!$A$2:$A$69,0))</f>
        <v>20</v>
      </c>
      <c r="F69" s="25" t="n">
        <f aca="false">INDEX('Route Master'!$H$2:$H$69,MATCH(A69,'Route Master'!$A$2:$A$69,0))</f>
        <v>26</v>
      </c>
      <c r="G69" s="20" t="n">
        <f aca="false">INDEX('Route Master'!$I$2:$I$69,MATCH(A69,'Route Master'!$A$2:$A$69,0))</f>
        <v>8</v>
      </c>
      <c r="H69" s="26" t="str">
        <f aca="false">IF(AND(B69=E69,C69=F69,D69=G69),"OK","CHECK")</f>
        <v>OK</v>
      </c>
    </row>
    <row r="70" customFormat="false" ht="15" hidden="false" customHeight="false" outlineLevel="0" collapsed="false">
      <c r="A70" s="20" t="s">
        <v>790</v>
      </c>
      <c r="B70" s="30" t="s">
        <v>588</v>
      </c>
      <c r="C70" s="31" t="n">
        <v>24.5</v>
      </c>
      <c r="D70" s="30" t="n">
        <v>8</v>
      </c>
      <c r="E70" s="20" t="str">
        <f aca="false">INDEX('Route Master'!$E$2:$E$69,MATCH(A70,'Route Master'!$A$2:$A$69,0))</f>
        <v>20</v>
      </c>
      <c r="F70" s="25" t="n">
        <f aca="false">INDEX('Route Master'!$H$2:$H$69,MATCH(A70,'Route Master'!$A$2:$A$69,0))</f>
        <v>24.5</v>
      </c>
      <c r="G70" s="20" t="n">
        <f aca="false">INDEX('Route Master'!$I$2:$I$69,MATCH(A70,'Route Master'!$A$2:$A$69,0))</f>
        <v>8</v>
      </c>
      <c r="H70" s="26" t="str">
        <f aca="false">IF(AND(B70=E70,C70=F70,D70=G70),"OK","CHECK")</f>
        <v>OK</v>
      </c>
    </row>
    <row r="71" customFormat="false" ht="15" hidden="false" customHeight="false" outlineLevel="0" collapsed="false">
      <c r="A71" s="20" t="s">
        <v>801</v>
      </c>
      <c r="B71" s="30" t="s">
        <v>956</v>
      </c>
      <c r="C71" s="31" t="n">
        <v>26.8</v>
      </c>
      <c r="D71" s="30" t="n">
        <v>5</v>
      </c>
      <c r="E71" s="20" t="str">
        <f aca="false">INDEX('Route Master'!$E$2:$E$69,MATCH(A71,'Route Master'!$A$2:$A$69,0))</f>
        <v>20-40</v>
      </c>
      <c r="F71" s="25" t="n">
        <f aca="false">INDEX('Route Master'!$H$2:$H$69,MATCH(A71,'Route Master'!$A$2:$A$69,0))</f>
        <v>26.8</v>
      </c>
      <c r="G71" s="20" t="n">
        <f aca="false">INDEX('Route Master'!$I$2:$I$69,MATCH(A71,'Route Master'!$A$2:$A$69,0))</f>
        <v>5</v>
      </c>
      <c r="H71" s="26" t="str">
        <f aca="false">IF(AND(B71=E71,C71=F71,D71=G71),"OK","CHECK")</f>
        <v>OK</v>
      </c>
    </row>
    <row r="72" customFormat="false" ht="15" hidden="false" customHeight="false" outlineLevel="0" collapsed="false">
      <c r="A72" s="20" t="s">
        <v>805</v>
      </c>
      <c r="B72" s="30" t="s">
        <v>565</v>
      </c>
      <c r="C72" s="31" t="n">
        <v>18.7</v>
      </c>
      <c r="D72" s="30" t="n">
        <v>12</v>
      </c>
      <c r="E72" s="20" t="str">
        <f aca="false">INDEX('Route Master'!$E$2:$E$69,MATCH(A72,'Route Master'!$A$2:$A$69,0))</f>
        <v>10</v>
      </c>
      <c r="F72" s="25" t="n">
        <f aca="false">INDEX('Route Master'!$H$2:$H$69,MATCH(A72,'Route Master'!$A$2:$A$69,0))</f>
        <v>18.7</v>
      </c>
      <c r="G72" s="20" t="n">
        <f aca="false">INDEX('Route Master'!$I$2:$I$69,MATCH(A72,'Route Master'!$A$2:$A$69,0))</f>
        <v>12</v>
      </c>
      <c r="H72" s="26" t="str">
        <f aca="false">IF(AND(B72=E72,C72=F72,D72=G72),"OK","CHECK")</f>
        <v>OK</v>
      </c>
    </row>
    <row r="73" customFormat="false" ht="15" hidden="false" customHeight="false" outlineLevel="0" collapsed="false">
      <c r="A73" s="20" t="s">
        <v>819</v>
      </c>
      <c r="B73" s="30" t="s">
        <v>906</v>
      </c>
      <c r="C73" s="31" t="n">
        <v>36</v>
      </c>
      <c r="D73" s="30" t="n">
        <v>13</v>
      </c>
      <c r="E73" s="20" t="str">
        <f aca="false">INDEX('Route Master'!$E$2:$E$69,MATCH(A73,'Route Master'!$A$2:$A$69,0))</f>
        <v>15-20</v>
      </c>
      <c r="F73" s="25" t="n">
        <f aca="false">INDEX('Route Master'!$H$2:$H$69,MATCH(A73,'Route Master'!$A$2:$A$69,0))</f>
        <v>36</v>
      </c>
      <c r="G73" s="20" t="n">
        <f aca="false">INDEX('Route Master'!$I$2:$I$69,MATCH(A73,'Route Master'!$A$2:$A$69,0))</f>
        <v>13</v>
      </c>
      <c r="H73" s="26" t="str">
        <f aca="false">IF(AND(B73=E73,C73=F73,D73=G73),"OK","CHECK")</f>
        <v>OK</v>
      </c>
    </row>
    <row r="74" customFormat="false" ht="15" hidden="false" customHeight="false" outlineLevel="0" collapsed="false">
      <c r="A74" s="20" t="s">
        <v>828</v>
      </c>
      <c r="B74" s="30" t="s">
        <v>960</v>
      </c>
      <c r="C74" s="31" t="n">
        <v>31</v>
      </c>
      <c r="D74" s="30" t="n">
        <v>4</v>
      </c>
      <c r="E74" s="20" t="str">
        <f aca="false">INDEX('Route Master'!$E$2:$E$69,MATCH(A74,'Route Master'!$A$2:$A$69,0))</f>
        <v>30-40</v>
      </c>
      <c r="F74" s="25" t="n">
        <f aca="false">INDEX('Route Master'!$H$2:$H$69,MATCH(A74,'Route Master'!$A$2:$A$69,0))</f>
        <v>31</v>
      </c>
      <c r="G74" s="20" t="n">
        <f aca="false">INDEX('Route Master'!$I$2:$I$69,MATCH(A74,'Route Master'!$A$2:$A$69,0))</f>
        <v>4</v>
      </c>
      <c r="H74" s="26" t="str">
        <f aca="false">IF(AND(B74=E74,C74=F74,D74=G74),"OK","CHECK")</f>
        <v>OK</v>
      </c>
    </row>
    <row r="75" customFormat="false" ht="15" hidden="false" customHeight="false" outlineLevel="0" collapsed="false">
      <c r="A75" s="20" t="s">
        <v>830</v>
      </c>
      <c r="B75" s="30" t="s">
        <v>725</v>
      </c>
      <c r="C75" s="31" t="n">
        <v>37</v>
      </c>
      <c r="D75" s="30" t="n">
        <v>3</v>
      </c>
      <c r="E75" s="20" t="str">
        <f aca="false">INDEX('Route Master'!$E$2:$E$69,MATCH(A75,'Route Master'!$A$2:$A$69,0))</f>
        <v>80</v>
      </c>
      <c r="F75" s="25" t="n">
        <f aca="false">INDEX('Route Master'!$H$2:$H$69,MATCH(A75,'Route Master'!$A$2:$A$69,0))</f>
        <v>37</v>
      </c>
      <c r="G75" s="20" t="n">
        <f aca="false">INDEX('Route Master'!$I$2:$I$69,MATCH(A75,'Route Master'!$A$2:$A$69,0))</f>
        <v>3</v>
      </c>
      <c r="H75" s="26" t="str">
        <f aca="false">IF(AND(B75=E75,C75=F75,D75=G75),"OK","CHECK")</f>
        <v>OK</v>
      </c>
    </row>
    <row r="76" customFormat="false" ht="15" hidden="false" customHeight="false" outlineLevel="0" collapsed="false">
      <c r="A76" s="20" t="s">
        <v>854</v>
      </c>
      <c r="B76" s="30" t="s">
        <v>880</v>
      </c>
      <c r="C76" s="31" t="n">
        <v>22</v>
      </c>
      <c r="D76" s="30" t="n">
        <v>8</v>
      </c>
      <c r="E76" s="20" t="str">
        <f aca="false">INDEX('Route Master'!$E$2:$E$69,MATCH(A76,'Route Master'!$A$2:$A$69,0))</f>
        <v>20-25</v>
      </c>
      <c r="F76" s="25" t="n">
        <f aca="false">INDEX('Route Master'!$H$2:$H$69,MATCH(A76,'Route Master'!$A$2:$A$69,0))</f>
        <v>22</v>
      </c>
      <c r="G76" s="20" t="n">
        <f aca="false">INDEX('Route Master'!$I$2:$I$69,MATCH(A76,'Route Master'!$A$2:$A$69,0))</f>
        <v>8</v>
      </c>
      <c r="H76" s="26" t="str">
        <f aca="false">IF(AND(B76=E76,C76=F76,D76=G76),"OK","CHECK")</f>
        <v>OK</v>
      </c>
    </row>
    <row r="78" customFormat="false" ht="15" hidden="false" customHeight="false" outlineLevel="0" collapsed="false">
      <c r="A78" s="22" t="s">
        <v>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2026-08-26T19:58:20Z</dcterms:created>
  <dc:creator>openpyxl</dc:creator>
  <dc:description/>
  <dc:language>en-US</dc:language>
  <cp:lastModifiedBy>Daksh garg</cp:lastModifiedBy>
  <dcterms:modified xsi:type="dcterms:W3CDTF">2026-10-15T07:12:55Z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